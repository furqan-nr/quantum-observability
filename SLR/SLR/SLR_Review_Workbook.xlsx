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Search Log" sheetId="2" state="visible" r:id="rId4"/>
    <sheet name="Screening" sheetId="3" state="visible" r:id="rId5"/>
    <sheet name="Quality Assessment" sheetId="4" state="visible" r:id="rId6"/>
    <sheet name="Data Extraction" sheetId="5" state="visible" r:id="rId7"/>
    <sheet name="PRISMA Counts" sheetId="6" state="visible" r:id="rId8"/>
    <sheet name="Deviations Log"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<sst xmlns="http://schemas.openxmlformats.org/spreadsheetml/2006/main" count="260" uniqueCount="228">
  <si>
    <t xml:space="preserve">SLR Working Workbook — Testing &amp; Regression Testing of Quantum Compilers</t>
  </si>
  <si>
    <t xml:space="preserve">Conduct workbook for the full systematic review (paper 2). Extends the registered protocol and the 7 seed studies.</t>
  </si>
  <si>
    <t xml:space="preserve">Review title</t>
  </si>
  <si>
    <t xml:space="preserve">A Systematic Literature Review of Testing and Regression Testing of Quantum Software Compilers</t>
  </si>
  <si>
    <t xml:space="preserve">Protocol</t>
  </si>
  <si>
    <t xml:space="preserve">Registered on OSF (DOI: to be inserted). This workbook executes that protocol.</t>
  </si>
  <si>
    <t xml:space="preserve">Search cut-off date</t>
  </si>
  <si>
    <t xml:space="preserve">2015–2026 (set exact run date on the Search Log sheet)</t>
  </si>
  <si>
    <t xml:space="preserve">Reviewers</t>
  </si>
  <si>
    <t xml:space="preserve">R1 = lead (screening/extraction), R2 = co-author (independent second reviewer), R3 = adjudicator</t>
  </si>
  <si>
    <t xml:space="preserve">Research questions</t>
  </si>
  <si>
    <t xml:space="preserve">RQ1</t>
  </si>
  <si>
    <t xml:space="preserve">What testing techniques have been proposed for quantum software compilers (transpilers)?</t>
  </si>
  <si>
    <t xml:space="preserve">RQ2</t>
  </si>
  <si>
    <t xml:space="preserve">What correctness oracles are used for compiled quantum circuits, and what are their limitations?</t>
  </si>
  <si>
    <t xml:space="preserve">RQ3</t>
  </si>
  <si>
    <t xml:space="preserve">How is regression testing, including test selection and prioritisation, addressed for quantum compilers?</t>
  </si>
  <si>
    <t xml:space="preserve">RQ4</t>
  </si>
  <si>
    <t xml:space="preserve">What benchmarks, datasets, and tools support the evaluation of quantum-compiler testing?</t>
  </si>
  <si>
    <t xml:space="preserve">RQ5</t>
  </si>
  <si>
    <t xml:space="preserve">What are the open challenges and research gaps in testing quantum compilers?</t>
  </si>
  <si>
    <t xml:space="preserve">How to use this workbook</t>
  </si>
  <si>
    <t xml:space="preserve">1. Search Log</t>
  </si>
  <si>
    <t xml:space="preserve">Run each database query; paste the record count and run date. Yellow cells = you fill in.</t>
  </si>
  <si>
    <t xml:space="preserve">2. Screening</t>
  </si>
  <si>
    <t xml:space="preserve">One row per record after de-dup; R1 and R2 mark Include/Exclude; the κ block computes agreement.</t>
  </si>
  <si>
    <t xml:space="preserve">3. Quality Assessment</t>
  </si>
  <si>
    <t xml:space="preserve">Score each included study QA1–QA6; totals and the include/exclude decision are formulas.</t>
  </si>
  <si>
    <t xml:space="preserve">4. Data Extraction</t>
  </si>
  <si>
    <t xml:space="preserve">One row per included study across the protocol's data items (7 seed studies pre-filled).</t>
  </si>
  <si>
    <t xml:space="preserve">5. PRISMA Counts</t>
  </si>
  <si>
    <t xml:space="preserve">Funnel tracker; feeds the PRISMA 2020 figure in the paper.</t>
  </si>
  <si>
    <t xml:space="preserve">6. Deviations Log</t>
  </si>
  <si>
    <t xml:space="preserve">Record any change from the registered protocol, with reason and date.</t>
  </si>
  <si>
    <t xml:space="preserve">Legend</t>
  </si>
  <si>
    <t xml:space="preserve">Yellow = fill in.  White = pre-filled or computed by formula.  Grey = example row (delete before use).</t>
  </si>
  <si>
    <t xml:space="preserve">Search Log — execute each query, record run date and hit count (yellow cells)</t>
  </si>
  <si>
    <t xml:space="preserve">Database</t>
  </si>
  <si>
    <t xml:space="preserve">Query string (adapt to engine syntax)</t>
  </si>
  <si>
    <t xml:space="preserve">Fields</t>
  </si>
  <si>
    <t xml:space="preserve">Years</t>
  </si>
  <si>
    <t xml:space="preserve">Date run</t>
  </si>
  <si>
    <t xml:space="preserve">Records found</t>
  </si>
  <si>
    <t xml:space="preserve">Access notes</t>
  </si>
  <si>
    <t xml:space="preserve">IEEE Xplore</t>
  </si>
  <si>
    <t xml:space="preserve">("quantum" AND ("transpiler" OR "quantum compiler" OR "compilation" OR "pass manager" OR "qubit mapping")) AND ("testing" OR "test" OR "bug" OR "fault" OR "miscompilation" OR "oracle" OR "equivalence checking" OR "regression testing" OR "test selection" OR "test prioritisation")</t>
  </si>
  <si>
    <t xml:space="preserve">Doc title / Abstract / Index terms</t>
  </si>
  <si>
    <t xml:space="preserve">2015-2026</t>
  </si>
  <si>
    <t xml:space="preserve">Subscription; export CSV</t>
  </si>
  <si>
    <t xml:space="preserve">ACM Digital Library</t>
  </si>
  <si>
    <t xml:space="preserve">Title / Abstract</t>
  </si>
  <si>
    <t xml:space="preserve">Subscription; advanced search</t>
  </si>
  <si>
    <t xml:space="preserve">ScienceDirect (Elsevier)</t>
  </si>
  <si>
    <t xml:space="preserve">quantum AND (transpiler OR "quantum compiler" OR compilation) AND (testing OR bug OR oracle OR "regression testing")</t>
  </si>
  <si>
    <t xml:space="preserve">Title-abstract-keywords</t>
  </si>
  <si>
    <t xml:space="preserve">Max 8 booleans; simplified string</t>
  </si>
  <si>
    <t xml:space="preserve">SpringerLink</t>
  </si>
  <si>
    <t xml:space="preserve">Full text</t>
  </si>
  <si>
    <t xml:space="preserve">High recall; full-text search</t>
  </si>
  <si>
    <t xml:space="preserve">Scopus</t>
  </si>
  <si>
    <t xml:space="preserve">TITLE-ABS-KEY(("quantum" AND ("transpiler" OR "quantum compiler" OR "compilation" OR "pass manager" OR "qubit mapping")) AND ("testing" OR "test" OR "bug" OR "fault" OR "miscompilation" OR "oracle" OR "equivalence checking" OR "regression testing" OR "test selection" OR "test prioritisation")) AND PUBYEAR &gt; 2014</t>
  </si>
  <si>
    <t xml:space="preserve">Title/Abstract/Keywords</t>
  </si>
  <si>
    <t xml:space="preserve">Subscription; TITLE-ABS-KEY</t>
  </si>
  <si>
    <t xml:space="preserve">Web of Science</t>
  </si>
  <si>
    <t xml:space="preserve">TS=(("quantum" AND ("transpiler" OR "quantum compiler" OR "compilation" OR "pass manager" OR "qubit mapping")) AND ("testing" OR "test" OR "bug" OR "fault" OR "miscompilation" OR "oracle" OR "equivalence checking" OR "regression testing" OR "test selection" OR "test prioritisation"))</t>
  </si>
  <si>
    <t xml:space="preserve">Topic (TS)</t>
  </si>
  <si>
    <t xml:space="preserve">Subscription; Core Collection</t>
  </si>
  <si>
    <t xml:space="preserve">arXiv</t>
  </si>
  <si>
    <t xml:space="preserve">quantum AND (transpiler OR "quantum compiler") AND (testing OR bug OR oracle)</t>
  </si>
  <si>
    <t xml:space="preserve">All fields (cs.SE, quant-ph)</t>
  </si>
  <si>
    <t xml:space="preserve">Open; preprints/grey lit</t>
  </si>
  <si>
    <t xml:space="preserve">Google Scholar</t>
  </si>
  <si>
    <t xml:space="preserve">quantum compiler OR transpiler testing OR "regression testing" quantum</t>
  </si>
  <si>
    <t xml:space="preserve">All fields</t>
  </si>
  <si>
    <t xml:space="preserve">~1000-result cap; use for snowballing</t>
  </si>
  <si>
    <t xml:space="preserve">TOTAL identified</t>
  </si>
  <si>
    <t xml:space="preserve">Title/Abstract Screening — R1 and R2 mark Include/Exclude independently</t>
  </si>
  <si>
    <t xml:space="preserve">RecID</t>
  </si>
  <si>
    <t xml:space="preserve">Title</t>
  </si>
  <si>
    <t xml:space="preserve">Authors</t>
  </si>
  <si>
    <t xml:space="preserve">Year</t>
  </si>
  <si>
    <t xml:space="preserve">Venue</t>
  </si>
  <si>
    <t xml:space="preserve">Source DB</t>
  </si>
  <si>
    <t xml:space="preserve">R1 (Include/Exclude)</t>
  </si>
  <si>
    <t xml:space="preserve">R2 (Include/Exclude)</t>
  </si>
  <si>
    <t xml:space="preserve">Agree?</t>
  </si>
  <si>
    <t xml:space="preserve">Final decision</t>
  </si>
  <si>
    <t xml:space="preserve">Exclusion reason</t>
  </si>
  <si>
    <t xml:space="preserve">EX1</t>
  </si>
  <si>
    <t xml:space="preserve">(example) Metamorphic testing of a quantum compiler</t>
  </si>
  <si>
    <t xml:space="preserve">Doe et al.</t>
  </si>
  <si>
    <t xml:space="preserve">2024</t>
  </si>
  <si>
    <t xml:space="preserve">ICSE</t>
  </si>
  <si>
    <t xml:space="preserve">Include</t>
  </si>
  <si>
    <t xml:space="preserve">—</t>
  </si>
  <si>
    <t xml:space="preserve">Cohen's kappa (Include/Exclude)</t>
  </si>
  <si>
    <t xml:space="preserve">Both Include (a)</t>
  </si>
  <si>
    <t xml:space="preserve">R1 Inc / R2 Exc (b)</t>
  </si>
  <si>
    <t xml:space="preserve">R1 Exc / R2 Inc (c)</t>
  </si>
  <si>
    <t xml:space="preserve">Both Exclude (d)</t>
  </si>
  <si>
    <t xml:space="preserve">Total decided (n)</t>
  </si>
  <si>
    <t xml:space="preserve">Observed agreement (po)</t>
  </si>
  <si>
    <t xml:space="preserve">Expected agreement (pe)</t>
  </si>
  <si>
    <t xml:space="preserve">Cohen's kappa</t>
  </si>
  <si>
    <t xml:space="preserve">Target: kappa &gt;= 0.6 (substantial) before proceeding</t>
  </si>
  <si>
    <t xml:space="preserve">Quality Assessment — score QA1..QA6 as 1 / 0.5 / 0</t>
  </si>
  <si>
    <t xml:space="preserve">ID</t>
  </si>
  <si>
    <t xml:space="preserve">Primary study</t>
  </si>
  <si>
    <t xml:space="preserve">QA1</t>
  </si>
  <si>
    <t xml:space="preserve">QA2</t>
  </si>
  <si>
    <t xml:space="preserve">QA3</t>
  </si>
  <si>
    <t xml:space="preserve">QA4</t>
  </si>
  <si>
    <t xml:space="preserve">QA5</t>
  </si>
  <si>
    <t xml:space="preserve">QA6</t>
  </si>
  <si>
    <t xml:space="preserve">Total /6</t>
  </si>
  <si>
    <t xml:space="preserve">Decision (&gt;=4.0)</t>
  </si>
  <si>
    <t xml:space="preserve">Notes</t>
  </si>
  <si>
    <t xml:space="preserve">S1</t>
  </si>
  <si>
    <t xml:space="preserve">Wang et al., 2021 — QDiff [7]</t>
  </si>
  <si>
    <t xml:space="preserve">S2</t>
  </si>
  <si>
    <t xml:space="preserve">Paltenghi &amp; Pradel, 2023 — MorphQ [5]</t>
  </si>
  <si>
    <t xml:space="preserve">S3</t>
  </si>
  <si>
    <t xml:space="preserve">Iwumbwe et al., 2025 — QuteFuzz [11]</t>
  </si>
  <si>
    <t xml:space="preserve">S4</t>
  </si>
  <si>
    <t xml:space="preserve">Luo et al., 2026 — QEMI [12]</t>
  </si>
  <si>
    <t xml:space="preserve">S5</t>
  </si>
  <si>
    <t xml:space="preserve">Tao et al., 2022 — Giallar [13]</t>
  </si>
  <si>
    <t xml:space="preserve">S6</t>
  </si>
  <si>
    <t xml:space="preserve">Shi et al., 2020 — CertiQ [14]</t>
  </si>
  <si>
    <t xml:space="preserve">Include; flag low reproducibility</t>
  </si>
  <si>
    <t xml:space="preserve">S7</t>
  </si>
  <si>
    <t xml:space="preserve">Zhao et al., 2021 — Bugs4Q [15]</t>
  </si>
  <si>
    <t xml:space="preserve">Include; mainly RQ4/RQ5</t>
  </si>
  <si>
    <t xml:space="preserve">Average /6</t>
  </si>
  <si>
    <t xml:space="preserve">Data Extraction — one row per included study (7 seed studies pre-filled)</t>
  </si>
  <si>
    <t xml:space="preserve">Study (authors, year, venue)</t>
  </si>
  <si>
    <t xml:space="preserve">Testing technique</t>
  </si>
  <si>
    <t xml:space="preserve">Correctness oracle</t>
  </si>
  <si>
    <t xml:space="preserve">Oracle limitations (unobservable fault classes)</t>
  </si>
  <si>
    <t xml:space="preserve">Regression-testing relevance</t>
  </si>
  <si>
    <t xml:space="preserve">Benchmarks / tools</t>
  </si>
  <si>
    <t xml:space="preserve">Open challenges / gaps</t>
  </si>
  <si>
    <t xml:space="preserve">RQs</t>
  </si>
  <si>
    <t xml:space="preserve">Wang et al., 2021, ASE — QDiff [7]</t>
  </si>
  <si>
    <t xml:space="preserve">IEEE Xplore / ACM DL</t>
  </si>
  <si>
    <t xml:space="preserve">Differential testing across quantum software stacks using semantically equivalent circuit variants</t>
  </si>
  <si>
    <t xml:space="preserve">Statistical comparison of output distributions (Kolmogorov–Smirnov, cross-entropy)</t>
  </si>
  <si>
    <t xml:space="preserve">Probabilistic/threshold oracle; hardware noise and sampling variation can mask or mimic faults</t>
  </si>
  <si>
    <t xml:space="preserve">Can be rerun across versions, but defines no change-aware test selection or prioritisation</t>
  </si>
  <si>
    <t xml:space="preserve">Qiskit, Cirq, PyQuil; Deutsch–Jozsa, Bernstein–Vazirani, Grover, QAOA, VQE, X-gate; simulators and IBM hardware</t>
  </si>
  <si>
    <t xml:space="preserve">Separating software bugs from hardware noise; threshold tuning; execution cost and circuit size limit scalability</t>
  </si>
  <si>
    <t xml:space="preserve">1,2,4,5</t>
  </si>
  <si>
    <t xml:space="preserve">Paltenghi &amp; Pradel, 2023, ICSE — MorphQ [5]</t>
  </si>
  <si>
    <t xml:space="preserve">ACM DL / IEEE Xplore</t>
  </si>
  <si>
    <t xml:space="preserve">Metamorphic testing with generated programs and quantum-specific transformations</t>
  </si>
  <si>
    <t xml:space="preserve">Expected metamorphic relations between original and transformed programs</t>
  </si>
  <si>
    <t xml:space="preserve">Emphasis on crashes; weaker on semantic miscompilation that preserves the relation</t>
  </si>
  <si>
    <t xml:space="preserve">Reusable by rerunning after Qiskit updates, but no explicit selection or prioritisation</t>
  </si>
  <si>
    <t xml:space="preserve">MorphQ; Qiskit; program generator; 10 transformations; &gt;8,000 program pairs; public artifact</t>
  </si>
  <si>
    <t xml:space="preserve">Generalisation beyond Qiskit; duplicate warnings; needs prioritised regression and semantic-miscompilation support</t>
  </si>
  <si>
    <t xml:space="preserve">Iwumbwe et al., 2025, PLanQC — QuteFuzz [11]</t>
  </si>
  <si>
    <t xml:space="preserve">ACM SIGPLAN / Google Scholar</t>
  </si>
  <si>
    <t xml:space="preserve">Structured fuzzing of compilers using random circuits with control flow and subcircuits</t>
  </si>
  <si>
    <t xml:space="preserve">Crashes and cross-stack compiler/simulator inconsistencies; some silent miscompilation</t>
  </si>
  <si>
    <t xml:space="preserve">Weak oracle for silent miscompilation; no ranking or selection by compiler change</t>
  </si>
  <si>
    <t xml:space="preserve">QuteFuzz; Pytket, Qiskit, Cirq; control-flow circuits with subroutines; public repository</t>
  </si>
  <si>
    <t xml:space="preserve">Stronger silent-miscompilation oracles; random generation may miss paths; needs reduction and prioritisation</t>
  </si>
  <si>
    <t xml:space="preserve">Luo et al., 2026, arXiv — QEMI [12]</t>
  </si>
  <si>
    <t xml:space="preserve">arXiv / Google Scholar</t>
  </si>
  <si>
    <t xml:space="preserve">Equivalence modulo inputs; variants by removing quantum-control-flow dead code</t>
  </si>
  <si>
    <t xml:space="preserve">Compare original vs EMI variant; single-version crash or distribution difference flags a bug</t>
  </si>
  <si>
    <t xml:space="preserve">Probabilistic outputs complicate dead-code reasoning; limited rewrite repertoire</t>
  </si>
  <si>
    <t xml:space="preserve">Closest to regression testing (reusable equivalent variants) but no formal selection/prioritisation</t>
  </si>
  <si>
    <t xml:space="preserve">QEMI; Qiskit, Q#, Cirq; random generator; dead-code patterns; early-stop; public artifacts</t>
  </si>
  <si>
    <t xml:space="preserve">Richer equivalence-preserving rewrites; high-level reachability analysis; probabilistic-output reasoning</t>
  </si>
  <si>
    <t xml:space="preserve">1,2,3,4,5</t>
  </si>
  <si>
    <t xml:space="preserve">Tao et al., 2022, PLDI — Giallar [13]</t>
  </si>
  <si>
    <t xml:space="preserve">ACM DL / arXiv</t>
  </si>
  <si>
    <t xml:space="preserve">Formal pass verification (symbolic execution, SMT, rewrite rules, inferred loop invariants)</t>
  </si>
  <si>
    <t xml:space="preserve">Formal semantic-preservation proof per compiler pass</t>
  </si>
  <si>
    <t xml:space="preserve">Bounded by supported representations/rewrite rules; some statements unverified</t>
  </si>
  <si>
    <t xml:space="preserve">Not selection, but prevents regressions by verifying changed/new passes after updates</t>
  </si>
  <si>
    <t xml:space="preserve">Giallar; Qiskit; 44/56 passes across 13 Qiskit versions; QASM benchmarks; public artifact</t>
  </si>
  <si>
    <t xml:space="preserve">Trusted computing base; loop templates; incomplete gate/rule coverage</t>
  </si>
  <si>
    <t xml:space="preserve">Shi et al., 2020, arXiv — CertiQ [14]</t>
  </si>
  <si>
    <t xml:space="preserve">Mostly-automated formal verification of Qiskit passes (contracts, SMT, circuit calculus)</t>
  </si>
  <si>
    <t xml:space="preserve">Formal equivalence encoded as SMT verification conditions</t>
  </si>
  <si>
    <t xml:space="preserve">Proof/specification burden; limited public reproducibility</t>
  </si>
  <si>
    <t xml:space="preserve">Prevents regressions via verified passes; mentions Qiskit regression tests; no selection/prioritisation</t>
  </si>
  <si>
    <t xml:space="preserve">CertiQ; Qiskit; 26/30 passes reimplemented and verified; verified passes pass Qiskit regression tests</t>
  </si>
  <si>
    <t xml:space="preserve">More automation; specification burden; reproducibility; not a complete regression-testing method</t>
  </si>
  <si>
    <t xml:space="preserve">Zhao et al., 2021, ASE-NIER — Bugs4Q [15]</t>
  </si>
  <si>
    <t xml:space="preserve">IEEE Xplore / ACM DL / arXiv</t>
  </si>
  <si>
    <t xml:space="preserve">Real-bug benchmark (not a testing technique)</t>
  </si>
  <si>
    <t xml:space="preserve">Reproducible test cases distinguish buggy vs fixed behaviour</t>
  </si>
  <si>
    <t xml:space="preserve">Incomplete like any test suite; not compiler-pass specific</t>
  </si>
  <si>
    <t xml:space="preserve">Reusable historical-bug benchmark; no test-selection or prioritisation algorithm</t>
  </si>
  <si>
    <t xml:space="preserve">Bugs4Q; 36 real Qiskit bugs (Terra, Aer, Ignis, Aqua); buggy/fixed versions + tests</t>
  </si>
  <si>
    <t xml:space="preserve">Expand beyond Qiskit; compiler-specific labelling; staleness; no cost-aware prioritisation</t>
  </si>
  <si>
    <t xml:space="preserve">4,5</t>
  </si>
  <si>
    <t xml:space="preserve">PRISMA 2020 funnel — feeds the flow diagram in the paper</t>
  </si>
  <si>
    <t xml:space="preserve">Stage</t>
  </si>
  <si>
    <t xml:space="preserve">Count</t>
  </si>
  <si>
    <t xml:space="preserve">Records identified from databases</t>
  </si>
  <si>
    <t xml:space="preserve">Sum of per-database hits (see Search Log total)</t>
  </si>
  <si>
    <t xml:space="preserve">Duplicate records removed</t>
  </si>
  <si>
    <t xml:space="preserve">Fill after de-duplication in Zotero</t>
  </si>
  <si>
    <t xml:space="preserve">Records screened (title/abstract)</t>
  </si>
  <si>
    <t xml:space="preserve">Identified minus duplicates</t>
  </si>
  <si>
    <t xml:space="preserve">Records excluded at screening</t>
  </si>
  <si>
    <t xml:space="preserve">Fill from Screening sheet</t>
  </si>
  <si>
    <t xml:space="preserve">Full-text articles assessed</t>
  </si>
  <si>
    <t xml:space="preserve">Screened minus excluded</t>
  </si>
  <si>
    <t xml:space="preserve">Full-text excluded (with reasons)</t>
  </si>
  <si>
    <t xml:space="preserve">Fill from full-text stage</t>
  </si>
  <si>
    <t xml:space="preserve">Studies added by snowballing</t>
  </si>
  <si>
    <t xml:space="preserve">Fill from snowballing step</t>
  </si>
  <si>
    <t xml:space="preserve">Primary studies included</t>
  </si>
  <si>
    <t xml:space="preserve">Assessed minus full-text-excluded plus snowballed</t>
  </si>
  <si>
    <t xml:space="preserve">Deviations from the registered protocol</t>
  </si>
  <si>
    <t xml:space="preserve">Date</t>
  </si>
  <si>
    <t xml:space="preserve">Protocol item changed</t>
  </si>
  <si>
    <t xml:space="preserve">Change</t>
  </si>
  <si>
    <t xml:space="preserve">Reason</t>
  </si>
  <si>
    <t xml:space="preserve">(example) 2026-08-01</t>
  </si>
  <si>
    <t xml:space="preserve">Data sources</t>
  </si>
  <si>
    <t xml:space="preserve">ScienceDirect query simplified to 8 booleans</t>
  </si>
  <si>
    <t xml:space="preserve">Engine limit on Boolean operators</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</si>
</sst>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4"/>
      <color rgb="FF1F3B6B"/>
      <name val="Arial"/>
      <family val="0"/>
      <charset val="1"/>
    </font>
    <font>
      <i val="true"/>
      <sz val="10"/>
      <color rgb="FF555555"/>
      <name val="Arial"/>
      <family val="0"/>
      <charset val="1"/>
    </font>
    <font>
      <sz val="10"/>
      <name val="Arial"/>
      <family val="0"/>
      <charset val="1"/>
    </font>
    <font>
      <b val="true"/>
      <sz val="10"/>
      <name val="Arial"/>
      <family val="0"/>
      <charset val="1"/>
    </font>
    <font>
      <b val="true"/>
      <sz val="10"/>
      <color rgb="FFFFFFFF"/>
      <name val="Arial"/>
      <family val="0"/>
      <charset val="1"/>
    </font>
    <font>
      <i val="true"/>
      <sz val="10"/>
      <color rgb="FF888888"/>
      <name val="Arial"/>
      <family val="0"/>
      <charset val="1"/>
    </font>
  </fonts>
  <fills count="5">
    <fill>
      <patternFill patternType="none"/>
    </fill>
    <fill>
      <patternFill patternType="gray125"/>
    </fill>
    <fill>
      <patternFill patternType="solid">
        <fgColor rgb="FF1F3B6B"/>
        <bgColor rgb="FF333399"/>
      </patternFill>
    </fill>
    <fill>
      <patternFill patternType="solid">
        <fgColor rgb="FFFFF2CC"/>
        <bgColor rgb="FFF2F2F2"/>
      </patternFill>
    </fill>
    <fill>
      <patternFill patternType="solid">
        <fgColor rgb="FFF2F2F2"/>
        <bgColor rgb="FFFFFFFF"/>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general" vertical="top" textRotation="0" wrapText="true" indent="0" shrinkToFit="false"/>
      <protection locked="true" hidden="false"/>
    </xf>
    <xf numFmtId="164" fontId="0" fillId="3" borderId="1" xfId="0" applyFont="false" applyBorder="true" applyAlignment="true" applyProtection="false">
      <alignment horizontal="general" vertical="top"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88888"/>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B6B"/>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95"/>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c r="B3" s="4"/>
    </row>
    <row r="4" customFormat="false" ht="15" hidden="false" customHeight="false" outlineLevel="0" collapsed="false">
      <c r="A4" s="5" t="s">
        <v>2</v>
      </c>
      <c r="B4" s="4" t="s">
        <v>3</v>
      </c>
    </row>
    <row r="5" customFormat="false" ht="15" hidden="false" customHeight="false" outlineLevel="0" collapsed="false">
      <c r="A5" s="5" t="s">
        <v>4</v>
      </c>
      <c r="B5" s="4" t="s">
        <v>5</v>
      </c>
    </row>
    <row r="6" customFormat="false" ht="15" hidden="false" customHeight="false" outlineLevel="0" collapsed="false">
      <c r="A6" s="5" t="s">
        <v>6</v>
      </c>
      <c r="B6" s="4" t="s">
        <v>7</v>
      </c>
    </row>
    <row r="7" customFormat="false" ht="15" hidden="false" customHeight="false" outlineLevel="0" collapsed="false">
      <c r="A7" s="5" t="s">
        <v>8</v>
      </c>
      <c r="B7" s="4" t="s">
        <v>9</v>
      </c>
    </row>
    <row r="8" customFormat="false" ht="15" hidden="false" customHeight="false" outlineLevel="0" collapsed="false">
      <c r="A8" s="3"/>
      <c r="B8" s="4"/>
    </row>
    <row r="9" customFormat="false" ht="15" hidden="false" customHeight="false" outlineLevel="0" collapsed="false">
      <c r="A9" s="5" t="s">
        <v>10</v>
      </c>
      <c r="B9" s="4"/>
    </row>
    <row r="10" customFormat="false" ht="15" hidden="false" customHeight="false" outlineLevel="0" collapsed="false">
      <c r="A10" s="3" t="s">
        <v>11</v>
      </c>
      <c r="B10" s="4" t="s">
        <v>12</v>
      </c>
    </row>
    <row r="11" customFormat="false" ht="15" hidden="false" customHeight="false" outlineLevel="0" collapsed="false">
      <c r="A11" s="3" t="s">
        <v>13</v>
      </c>
      <c r="B11" s="4" t="s">
        <v>14</v>
      </c>
    </row>
    <row r="12" customFormat="false" ht="15" hidden="false" customHeight="false" outlineLevel="0" collapsed="false">
      <c r="A12" s="3" t="s">
        <v>15</v>
      </c>
      <c r="B12" s="4" t="s">
        <v>16</v>
      </c>
    </row>
    <row r="13" customFormat="false" ht="15" hidden="false" customHeight="false" outlineLevel="0" collapsed="false">
      <c r="A13" s="3" t="s">
        <v>17</v>
      </c>
      <c r="B13" s="4" t="s">
        <v>18</v>
      </c>
    </row>
    <row r="14" customFormat="false" ht="15" hidden="false" customHeight="false" outlineLevel="0" collapsed="false">
      <c r="A14" s="3" t="s">
        <v>19</v>
      </c>
      <c r="B14" s="4" t="s">
        <v>20</v>
      </c>
    </row>
    <row r="15" customFormat="false" ht="15" hidden="false" customHeight="false" outlineLevel="0" collapsed="false">
      <c r="A15" s="3"/>
      <c r="B15" s="4"/>
    </row>
    <row r="16" customFormat="false" ht="15" hidden="false" customHeight="false" outlineLevel="0" collapsed="false">
      <c r="A16" s="5" t="s">
        <v>21</v>
      </c>
      <c r="B16" s="4"/>
    </row>
    <row r="17" customFormat="false" ht="15" hidden="false" customHeight="false" outlineLevel="0" collapsed="false">
      <c r="A17" s="3" t="s">
        <v>22</v>
      </c>
      <c r="B17" s="4" t="s">
        <v>23</v>
      </c>
    </row>
    <row r="18" customFormat="false" ht="15" hidden="false" customHeight="false" outlineLevel="0" collapsed="false">
      <c r="A18" s="3" t="s">
        <v>24</v>
      </c>
      <c r="B18" s="4" t="s">
        <v>25</v>
      </c>
    </row>
    <row r="19" customFormat="false" ht="15" hidden="false" customHeight="false" outlineLevel="0" collapsed="false">
      <c r="A19" s="3" t="s">
        <v>26</v>
      </c>
      <c r="B19" s="4" t="s">
        <v>27</v>
      </c>
    </row>
    <row r="20" customFormat="false" ht="15" hidden="false" customHeight="false" outlineLevel="0" collapsed="false">
      <c r="A20" s="3" t="s">
        <v>28</v>
      </c>
      <c r="B20" s="4" t="s">
        <v>29</v>
      </c>
    </row>
    <row r="21" customFormat="false" ht="15" hidden="false" customHeight="false" outlineLevel="0" collapsed="false">
      <c r="A21" s="3" t="s">
        <v>30</v>
      </c>
      <c r="B21" s="4" t="s">
        <v>31</v>
      </c>
    </row>
    <row r="22" customFormat="false" ht="15" hidden="false" customHeight="false" outlineLevel="0" collapsed="false">
      <c r="A22" s="3" t="s">
        <v>32</v>
      </c>
      <c r="B22" s="4" t="s">
        <v>33</v>
      </c>
    </row>
    <row r="23" customFormat="false" ht="15" hidden="false" customHeight="false" outlineLevel="0" collapsed="false">
      <c r="A23" s="3"/>
      <c r="B23" s="4"/>
    </row>
    <row r="24" customFormat="false" ht="15" hidden="false" customHeight="false" outlineLevel="0" collapsed="false">
      <c r="A24" s="5" t="s">
        <v>34</v>
      </c>
      <c r="B24" s="4"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2" min="2" style="0" width="70"/>
    <col collapsed="false" customWidth="true" hidden="false" outlineLevel="0" max="3" min="3" style="0" width="22"/>
    <col collapsed="false" customWidth="true" hidden="false" outlineLevel="0" max="4" min="4" style="0" width="10"/>
    <col collapsed="false" customWidth="true" hidden="false" outlineLevel="0" max="5" min="5" style="0" width="12"/>
    <col collapsed="false" customWidth="true" hidden="false" outlineLevel="0" max="6" min="6" style="0" width="14"/>
    <col collapsed="false" customWidth="true" hidden="false" outlineLevel="0" max="7" min="7" style="0" width="26"/>
  </cols>
  <sheetData>
    <row r="1" customFormat="false" ht="17.35" hidden="false" customHeight="false" outlineLevel="0" collapsed="false">
      <c r="A1" s="1" t="s">
        <v>36</v>
      </c>
    </row>
    <row r="3" customFormat="false" ht="15" hidden="false" customHeight="false" outlineLevel="0" collapsed="false">
      <c r="A3" s="6" t="s">
        <v>37</v>
      </c>
      <c r="B3" s="6" t="s">
        <v>38</v>
      </c>
      <c r="C3" s="6" t="s">
        <v>39</v>
      </c>
      <c r="D3" s="6" t="s">
        <v>40</v>
      </c>
      <c r="E3" s="6" t="s">
        <v>41</v>
      </c>
      <c r="F3" s="6" t="s">
        <v>42</v>
      </c>
      <c r="G3" s="6" t="s">
        <v>43</v>
      </c>
    </row>
    <row r="4" customFormat="false" ht="46.25" hidden="false" customHeight="false" outlineLevel="0" collapsed="false">
      <c r="A4" s="7" t="s">
        <v>44</v>
      </c>
      <c r="B4" s="7" t="s">
        <v>45</v>
      </c>
      <c r="C4" s="7" t="s">
        <v>46</v>
      </c>
      <c r="D4" s="7" t="s">
        <v>47</v>
      </c>
      <c r="E4" s="8"/>
      <c r="F4" s="8"/>
      <c r="G4" s="7" t="s">
        <v>48</v>
      </c>
    </row>
    <row r="5" customFormat="false" ht="46.25" hidden="false" customHeight="false" outlineLevel="0" collapsed="false">
      <c r="A5" s="7" t="s">
        <v>49</v>
      </c>
      <c r="B5" s="7" t="s">
        <v>45</v>
      </c>
      <c r="C5" s="7" t="s">
        <v>50</v>
      </c>
      <c r="D5" s="7" t="s">
        <v>47</v>
      </c>
      <c r="E5" s="8"/>
      <c r="F5" s="8"/>
      <c r="G5" s="7" t="s">
        <v>51</v>
      </c>
    </row>
    <row r="6" customFormat="false" ht="23.85" hidden="false" customHeight="false" outlineLevel="0" collapsed="false">
      <c r="A6" s="7" t="s">
        <v>52</v>
      </c>
      <c r="B6" s="7" t="s">
        <v>53</v>
      </c>
      <c r="C6" s="7" t="s">
        <v>54</v>
      </c>
      <c r="D6" s="7" t="s">
        <v>47</v>
      </c>
      <c r="E6" s="8"/>
      <c r="F6" s="8"/>
      <c r="G6" s="7" t="s">
        <v>55</v>
      </c>
    </row>
    <row r="7" customFormat="false" ht="46.25" hidden="false" customHeight="false" outlineLevel="0" collapsed="false">
      <c r="A7" s="7" t="s">
        <v>56</v>
      </c>
      <c r="B7" s="7" t="s">
        <v>45</v>
      </c>
      <c r="C7" s="7" t="s">
        <v>57</v>
      </c>
      <c r="D7" s="7" t="s">
        <v>47</v>
      </c>
      <c r="E7" s="8"/>
      <c r="F7" s="8"/>
      <c r="G7" s="7" t="s">
        <v>58</v>
      </c>
    </row>
    <row r="8" customFormat="false" ht="57.45" hidden="false" customHeight="false" outlineLevel="0" collapsed="false">
      <c r="A8" s="7" t="s">
        <v>59</v>
      </c>
      <c r="B8" s="7" t="s">
        <v>60</v>
      </c>
      <c r="C8" s="7" t="s">
        <v>61</v>
      </c>
      <c r="D8" s="7" t="s">
        <v>47</v>
      </c>
      <c r="E8" s="8"/>
      <c r="F8" s="8"/>
      <c r="G8" s="7" t="s">
        <v>62</v>
      </c>
    </row>
    <row r="9" customFormat="false" ht="46.25" hidden="false" customHeight="false" outlineLevel="0" collapsed="false">
      <c r="A9" s="7" t="s">
        <v>63</v>
      </c>
      <c r="B9" s="7" t="s">
        <v>64</v>
      </c>
      <c r="C9" s="7" t="s">
        <v>65</v>
      </c>
      <c r="D9" s="7" t="s">
        <v>47</v>
      </c>
      <c r="E9" s="8"/>
      <c r="F9" s="8"/>
      <c r="G9" s="7" t="s">
        <v>66</v>
      </c>
    </row>
    <row r="10" customFormat="false" ht="15" hidden="false" customHeight="false" outlineLevel="0" collapsed="false">
      <c r="A10" s="7" t="s">
        <v>67</v>
      </c>
      <c r="B10" s="7" t="s">
        <v>68</v>
      </c>
      <c r="C10" s="7" t="s">
        <v>69</v>
      </c>
      <c r="D10" s="7" t="s">
        <v>47</v>
      </c>
      <c r="E10" s="8"/>
      <c r="F10" s="8"/>
      <c r="G10" s="7" t="s">
        <v>70</v>
      </c>
    </row>
    <row r="11" customFormat="false" ht="23.85" hidden="false" customHeight="false" outlineLevel="0" collapsed="false">
      <c r="A11" s="7" t="s">
        <v>71</v>
      </c>
      <c r="B11" s="7" t="s">
        <v>72</v>
      </c>
      <c r="C11" s="7" t="s">
        <v>73</v>
      </c>
      <c r="D11" s="7" t="s">
        <v>47</v>
      </c>
      <c r="E11" s="8"/>
      <c r="F11" s="8"/>
      <c r="G11" s="7" t="s">
        <v>74</v>
      </c>
    </row>
    <row r="12" customFormat="false" ht="15" hidden="false" customHeight="false" outlineLevel="0" collapsed="false">
      <c r="A12" s="5" t="s">
        <v>75</v>
      </c>
      <c r="F12" s="9" t="n">
        <f aca="false">SUM(F4:F11)</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40"/>
    <col collapsed="false" customWidth="true" hidden="false" outlineLevel="0" max="3" min="3" style="0" width="22"/>
    <col collapsed="false" customWidth="true" hidden="false" outlineLevel="0" max="4" min="4" style="0" width="8"/>
    <col collapsed="false" customWidth="true" hidden="false" outlineLevel="0" max="6" min="5" style="0" width="16"/>
    <col collapsed="false" customWidth="true" hidden="false" outlineLevel="0" max="8" min="7" style="0" width="18"/>
    <col collapsed="false" customWidth="true" hidden="false" outlineLevel="0" max="9" min="9" style="0" width="10"/>
    <col collapsed="false" customWidth="true" hidden="false" outlineLevel="0" max="10" min="10" style="0" width="16"/>
    <col collapsed="false" customWidth="true" hidden="false" outlineLevel="0" max="11" min="11" style="0" width="28"/>
  </cols>
  <sheetData>
    <row r="1" customFormat="false" ht="17.35" hidden="false" customHeight="false" outlineLevel="0" collapsed="false">
      <c r="A1" s="1" t="s">
        <v>76</v>
      </c>
    </row>
    <row r="3" customFormat="false" ht="23.85" hidden="false" customHeight="false" outlineLevel="0" collapsed="false">
      <c r="A3" s="6" t="s">
        <v>77</v>
      </c>
      <c r="B3" s="6" t="s">
        <v>78</v>
      </c>
      <c r="C3" s="6" t="s">
        <v>79</v>
      </c>
      <c r="D3" s="6" t="s">
        <v>80</v>
      </c>
      <c r="E3" s="6" t="s">
        <v>81</v>
      </c>
      <c r="F3" s="6" t="s">
        <v>82</v>
      </c>
      <c r="G3" s="6" t="s">
        <v>83</v>
      </c>
      <c r="H3" s="6" t="s">
        <v>84</v>
      </c>
      <c r="I3" s="6" t="s">
        <v>85</v>
      </c>
      <c r="J3" s="6" t="s">
        <v>86</v>
      </c>
      <c r="K3" s="6" t="s">
        <v>87</v>
      </c>
    </row>
    <row r="4" customFormat="false" ht="23.85" hidden="false" customHeight="false" outlineLevel="0" collapsed="false">
      <c r="A4" s="10" t="s">
        <v>88</v>
      </c>
      <c r="B4" s="10" t="s">
        <v>89</v>
      </c>
      <c r="C4" s="10" t="s">
        <v>90</v>
      </c>
      <c r="D4" s="10" t="s">
        <v>91</v>
      </c>
      <c r="E4" s="10" t="s">
        <v>92</v>
      </c>
      <c r="F4" s="10" t="s">
        <v>44</v>
      </c>
      <c r="G4" s="10" t="s">
        <v>93</v>
      </c>
      <c r="H4" s="10" t="s">
        <v>93</v>
      </c>
      <c r="I4" s="11" t="str">
        <f aca="false">IF(G4=H4,"yes","NO")</f>
        <v>yes</v>
      </c>
      <c r="J4" s="10" t="s">
        <v>93</v>
      </c>
      <c r="K4" s="10" t="s">
        <v>94</v>
      </c>
    </row>
    <row r="5" customFormat="false" ht="15" hidden="false" customHeight="false" outlineLevel="0" collapsed="false">
      <c r="A5" s="12"/>
      <c r="B5" s="12"/>
      <c r="C5" s="12"/>
      <c r="D5" s="12"/>
      <c r="E5" s="12"/>
      <c r="F5" s="12"/>
      <c r="G5" s="13"/>
      <c r="H5" s="13"/>
      <c r="I5" s="7" t="str">
        <f aca="false">IF(AND(G5&lt;&gt;"",G5=H5),"yes",IF(G5="","",IF(G5&lt;&gt;H5,"NO","")))</f>
        <v/>
      </c>
      <c r="J5" s="13"/>
      <c r="K5" s="13"/>
    </row>
    <row r="6" customFormat="false" ht="15" hidden="false" customHeight="false" outlineLevel="0" collapsed="false">
      <c r="A6" s="12"/>
      <c r="B6" s="12"/>
      <c r="C6" s="12"/>
      <c r="D6" s="12"/>
      <c r="E6" s="12"/>
      <c r="F6" s="12"/>
      <c r="G6" s="13"/>
      <c r="H6" s="13"/>
      <c r="I6" s="7" t="str">
        <f aca="false">IF(AND(G6&lt;&gt;"",G6=H6),"yes",IF(G6="","",IF(G6&lt;&gt;H6,"NO","")))</f>
        <v/>
      </c>
      <c r="J6" s="13"/>
      <c r="K6" s="13"/>
    </row>
    <row r="7" customFormat="false" ht="15" hidden="false" customHeight="false" outlineLevel="0" collapsed="false">
      <c r="A7" s="12"/>
      <c r="B7" s="12"/>
      <c r="C7" s="12"/>
      <c r="D7" s="12"/>
      <c r="E7" s="12"/>
      <c r="F7" s="12"/>
      <c r="G7" s="13"/>
      <c r="H7" s="13"/>
      <c r="I7" s="7" t="str">
        <f aca="false">IF(AND(G7&lt;&gt;"",G7=H7),"yes",IF(G7="","",IF(G7&lt;&gt;H7,"NO","")))</f>
        <v/>
      </c>
      <c r="J7" s="13"/>
      <c r="K7" s="13"/>
    </row>
    <row r="8" customFormat="false" ht="15" hidden="false" customHeight="false" outlineLevel="0" collapsed="false">
      <c r="A8" s="12"/>
      <c r="B8" s="12"/>
      <c r="C8" s="12"/>
      <c r="D8" s="12"/>
      <c r="E8" s="12"/>
      <c r="F8" s="12"/>
      <c r="G8" s="13"/>
      <c r="H8" s="13"/>
      <c r="I8" s="7" t="str">
        <f aca="false">IF(AND(G8&lt;&gt;"",G8=H8),"yes",IF(G8="","",IF(G8&lt;&gt;H8,"NO","")))</f>
        <v/>
      </c>
      <c r="J8" s="13"/>
      <c r="K8" s="13"/>
    </row>
    <row r="9" customFormat="false" ht="15" hidden="false" customHeight="false" outlineLevel="0" collapsed="false">
      <c r="A9" s="12"/>
      <c r="B9" s="12"/>
      <c r="C9" s="12"/>
      <c r="D9" s="12"/>
      <c r="E9" s="12"/>
      <c r="F9" s="12"/>
      <c r="G9" s="13"/>
      <c r="H9" s="13"/>
      <c r="I9" s="7" t="str">
        <f aca="false">IF(AND(G9&lt;&gt;"",G9=H9),"yes",IF(G9="","",IF(G9&lt;&gt;H9,"NO","")))</f>
        <v/>
      </c>
      <c r="J9" s="13"/>
      <c r="K9" s="13"/>
    </row>
    <row r="10" customFormat="false" ht="15" hidden="false" customHeight="false" outlineLevel="0" collapsed="false">
      <c r="A10" s="12"/>
      <c r="B10" s="12"/>
      <c r="C10" s="12"/>
      <c r="D10" s="12"/>
      <c r="E10" s="12"/>
      <c r="F10" s="12"/>
      <c r="G10" s="13"/>
      <c r="H10" s="13"/>
      <c r="I10" s="7" t="str">
        <f aca="false">IF(AND(G10&lt;&gt;"",G10=H10),"yes",IF(G10="","",IF(G10&lt;&gt;H10,"NO","")))</f>
        <v/>
      </c>
      <c r="J10" s="13"/>
      <c r="K10" s="13"/>
    </row>
    <row r="11" customFormat="false" ht="15" hidden="false" customHeight="false" outlineLevel="0" collapsed="false">
      <c r="A11" s="12"/>
      <c r="B11" s="12"/>
      <c r="C11" s="12"/>
      <c r="D11" s="12"/>
      <c r="E11" s="12"/>
      <c r="F11" s="12"/>
      <c r="G11" s="13"/>
      <c r="H11" s="13"/>
      <c r="I11" s="7" t="str">
        <f aca="false">IF(AND(G11&lt;&gt;"",G11=H11),"yes",IF(G11="","",IF(G11&lt;&gt;H11,"NO","")))</f>
        <v/>
      </c>
      <c r="J11" s="13"/>
      <c r="K11" s="13"/>
    </row>
    <row r="12" customFormat="false" ht="15" hidden="false" customHeight="false" outlineLevel="0" collapsed="false">
      <c r="A12" s="12"/>
      <c r="B12" s="12"/>
      <c r="C12" s="12"/>
      <c r="D12" s="12"/>
      <c r="E12" s="12"/>
      <c r="F12" s="12"/>
      <c r="G12" s="13"/>
      <c r="H12" s="13"/>
      <c r="I12" s="7" t="str">
        <f aca="false">IF(AND(G12&lt;&gt;"",G12=H12),"yes",IF(G12="","",IF(G12&lt;&gt;H12,"NO","")))</f>
        <v/>
      </c>
      <c r="J12" s="13"/>
      <c r="K12" s="13"/>
    </row>
    <row r="13" customFormat="false" ht="15" hidden="false" customHeight="false" outlineLevel="0" collapsed="false">
      <c r="A13" s="12"/>
      <c r="B13" s="12"/>
      <c r="C13" s="12"/>
      <c r="D13" s="12"/>
      <c r="E13" s="12"/>
      <c r="F13" s="12"/>
      <c r="G13" s="13"/>
      <c r="H13" s="13"/>
      <c r="I13" s="7" t="str">
        <f aca="false">IF(AND(G13&lt;&gt;"",G13=H13),"yes",IF(G13="","",IF(G13&lt;&gt;H13,"NO","")))</f>
        <v/>
      </c>
      <c r="J13" s="13"/>
      <c r="K13" s="13"/>
    </row>
    <row r="14" customFormat="false" ht="15" hidden="false" customHeight="false" outlineLevel="0" collapsed="false">
      <c r="A14" s="12"/>
      <c r="B14" s="12"/>
      <c r="C14" s="12"/>
      <c r="D14" s="12"/>
      <c r="E14" s="12"/>
      <c r="F14" s="12"/>
      <c r="G14" s="13"/>
      <c r="H14" s="13"/>
      <c r="I14" s="7" t="str">
        <f aca="false">IF(AND(G14&lt;&gt;"",G14=H14),"yes",IF(G14="","",IF(G14&lt;&gt;H14,"NO","")))</f>
        <v/>
      </c>
      <c r="J14" s="13"/>
      <c r="K14" s="13"/>
    </row>
    <row r="15" customFormat="false" ht="15" hidden="false" customHeight="false" outlineLevel="0" collapsed="false">
      <c r="A15" s="12"/>
      <c r="B15" s="12"/>
      <c r="C15" s="12"/>
      <c r="D15" s="12"/>
      <c r="E15" s="12"/>
      <c r="F15" s="12"/>
      <c r="G15" s="13"/>
      <c r="H15" s="13"/>
      <c r="I15" s="7" t="str">
        <f aca="false">IF(AND(G15&lt;&gt;"",G15=H15),"yes",IF(G15="","",IF(G15&lt;&gt;H15,"NO","")))</f>
        <v/>
      </c>
      <c r="J15" s="13"/>
      <c r="K15" s="13"/>
    </row>
    <row r="16" customFormat="false" ht="15" hidden="false" customHeight="false" outlineLevel="0" collapsed="false">
      <c r="A16" s="12"/>
      <c r="B16" s="12"/>
      <c r="C16" s="12"/>
      <c r="D16" s="12"/>
      <c r="E16" s="12"/>
      <c r="F16" s="12"/>
      <c r="G16" s="13"/>
      <c r="H16" s="13"/>
      <c r="I16" s="7" t="str">
        <f aca="false">IF(AND(G16&lt;&gt;"",G16=H16),"yes",IF(G16="","",IF(G16&lt;&gt;H16,"NO","")))</f>
        <v/>
      </c>
      <c r="J16" s="13"/>
      <c r="K16" s="13"/>
    </row>
    <row r="17" customFormat="false" ht="15" hidden="false" customHeight="false" outlineLevel="0" collapsed="false">
      <c r="A17" s="12"/>
      <c r="B17" s="12"/>
      <c r="C17" s="12"/>
      <c r="D17" s="12"/>
      <c r="E17" s="12"/>
      <c r="F17" s="12"/>
      <c r="G17" s="13"/>
      <c r="H17" s="13"/>
      <c r="I17" s="7" t="str">
        <f aca="false">IF(AND(G17&lt;&gt;"",G17=H17),"yes",IF(G17="","",IF(G17&lt;&gt;H17,"NO","")))</f>
        <v/>
      </c>
      <c r="J17" s="13"/>
      <c r="K17" s="13"/>
    </row>
    <row r="18" customFormat="false" ht="15" hidden="false" customHeight="false" outlineLevel="0" collapsed="false">
      <c r="A18" s="12"/>
      <c r="B18" s="12"/>
      <c r="C18" s="12"/>
      <c r="D18" s="12"/>
      <c r="E18" s="12"/>
      <c r="F18" s="12"/>
      <c r="G18" s="13"/>
      <c r="H18" s="13"/>
      <c r="I18" s="7" t="str">
        <f aca="false">IF(AND(G18&lt;&gt;"",G18=H18),"yes",IF(G18="","",IF(G18&lt;&gt;H18,"NO","")))</f>
        <v/>
      </c>
      <c r="J18" s="13"/>
      <c r="K18" s="13"/>
    </row>
    <row r="19" customFormat="false" ht="15" hidden="false" customHeight="false" outlineLevel="0" collapsed="false">
      <c r="A19" s="12"/>
      <c r="B19" s="12"/>
      <c r="C19" s="12"/>
      <c r="D19" s="12"/>
      <c r="E19" s="12"/>
      <c r="F19" s="12"/>
      <c r="G19" s="13"/>
      <c r="H19" s="13"/>
      <c r="I19" s="7" t="str">
        <f aca="false">IF(AND(G19&lt;&gt;"",G19=H19),"yes",IF(G19="","",IF(G19&lt;&gt;H19,"NO","")))</f>
        <v/>
      </c>
      <c r="J19" s="13"/>
      <c r="K19" s="13"/>
    </row>
    <row r="20" customFormat="false" ht="15" hidden="false" customHeight="false" outlineLevel="0" collapsed="false">
      <c r="A20" s="12"/>
      <c r="B20" s="12"/>
      <c r="C20" s="12"/>
      <c r="D20" s="12"/>
      <c r="E20" s="12"/>
      <c r="F20" s="12"/>
      <c r="G20" s="13"/>
      <c r="H20" s="13"/>
      <c r="I20" s="7" t="str">
        <f aca="false">IF(AND(G20&lt;&gt;"",G20=H20),"yes",IF(G20="","",IF(G20&lt;&gt;H20,"NO","")))</f>
        <v/>
      </c>
      <c r="J20" s="13"/>
      <c r="K20" s="13"/>
    </row>
    <row r="21" customFormat="false" ht="15" hidden="false" customHeight="false" outlineLevel="0" collapsed="false">
      <c r="A21" s="12"/>
      <c r="B21" s="12"/>
      <c r="C21" s="12"/>
      <c r="D21" s="12"/>
      <c r="E21" s="12"/>
      <c r="F21" s="12"/>
      <c r="G21" s="13"/>
      <c r="H21" s="13"/>
      <c r="I21" s="7" t="str">
        <f aca="false">IF(AND(G21&lt;&gt;"",G21=H21),"yes",IF(G21="","",IF(G21&lt;&gt;H21,"NO","")))</f>
        <v/>
      </c>
      <c r="J21" s="13"/>
      <c r="K21" s="13"/>
    </row>
    <row r="22" customFormat="false" ht="15" hidden="false" customHeight="false" outlineLevel="0" collapsed="false">
      <c r="A22" s="12"/>
      <c r="B22" s="12"/>
      <c r="C22" s="12"/>
      <c r="D22" s="12"/>
      <c r="E22" s="12"/>
      <c r="F22" s="12"/>
      <c r="G22" s="13"/>
      <c r="H22" s="13"/>
      <c r="I22" s="7" t="str">
        <f aca="false">IF(AND(G22&lt;&gt;"",G22=H22),"yes",IF(G22="","",IF(G22&lt;&gt;H22,"NO","")))</f>
        <v/>
      </c>
      <c r="J22" s="13"/>
      <c r="K22" s="13"/>
    </row>
    <row r="23" customFormat="false" ht="15" hidden="false" customHeight="false" outlineLevel="0" collapsed="false">
      <c r="A23" s="12"/>
      <c r="B23" s="12"/>
      <c r="C23" s="12"/>
      <c r="D23" s="12"/>
      <c r="E23" s="12"/>
      <c r="F23" s="12"/>
      <c r="G23" s="13"/>
      <c r="H23" s="13"/>
      <c r="I23" s="7" t="str">
        <f aca="false">IF(AND(G23&lt;&gt;"",G23=H23),"yes",IF(G23="","",IF(G23&lt;&gt;H23,"NO","")))</f>
        <v/>
      </c>
      <c r="J23" s="13"/>
      <c r="K23" s="13"/>
    </row>
    <row r="24" customFormat="false" ht="15" hidden="false" customHeight="false" outlineLevel="0" collapsed="false">
      <c r="A24" s="12"/>
      <c r="B24" s="12"/>
      <c r="C24" s="12"/>
      <c r="D24" s="12"/>
      <c r="E24" s="12"/>
      <c r="F24" s="12"/>
      <c r="G24" s="13"/>
      <c r="H24" s="13"/>
      <c r="I24" s="7" t="str">
        <f aca="false">IF(AND(G24&lt;&gt;"",G24=H24),"yes",IF(G24="","",IF(G24&lt;&gt;H24,"NO","")))</f>
        <v/>
      </c>
      <c r="J24" s="13"/>
      <c r="K24" s="13"/>
    </row>
    <row r="25" customFormat="false" ht="15" hidden="false" customHeight="false" outlineLevel="0" collapsed="false">
      <c r="A25" s="12"/>
      <c r="B25" s="12"/>
      <c r="C25" s="12"/>
      <c r="D25" s="12"/>
      <c r="E25" s="12"/>
      <c r="F25" s="12"/>
      <c r="G25" s="13"/>
      <c r="H25" s="13"/>
      <c r="I25" s="7" t="str">
        <f aca="false">IF(AND(G25&lt;&gt;"",G25=H25),"yes",IF(G25="","",IF(G25&lt;&gt;H25,"NO","")))</f>
        <v/>
      </c>
      <c r="J25" s="13"/>
      <c r="K25" s="13"/>
    </row>
    <row r="26" customFormat="false" ht="15" hidden="false" customHeight="false" outlineLevel="0" collapsed="false">
      <c r="A26" s="12"/>
      <c r="B26" s="12"/>
      <c r="C26" s="12"/>
      <c r="D26" s="12"/>
      <c r="E26" s="12"/>
      <c r="F26" s="12"/>
      <c r="G26" s="13"/>
      <c r="H26" s="13"/>
      <c r="I26" s="7" t="str">
        <f aca="false">IF(AND(G26&lt;&gt;"",G26=H26),"yes",IF(G26="","",IF(G26&lt;&gt;H26,"NO","")))</f>
        <v/>
      </c>
      <c r="J26" s="13"/>
      <c r="K26" s="13"/>
    </row>
    <row r="27" customFormat="false" ht="15" hidden="false" customHeight="false" outlineLevel="0" collapsed="false">
      <c r="A27" s="12"/>
      <c r="B27" s="12"/>
      <c r="C27" s="12"/>
      <c r="D27" s="12"/>
      <c r="E27" s="12"/>
      <c r="F27" s="12"/>
      <c r="G27" s="13"/>
      <c r="H27" s="13"/>
      <c r="I27" s="7" t="str">
        <f aca="false">IF(AND(G27&lt;&gt;"",G27=H27),"yes",IF(G27="","",IF(G27&lt;&gt;H27,"NO","")))</f>
        <v/>
      </c>
      <c r="J27" s="13"/>
      <c r="K27" s="13"/>
    </row>
    <row r="28" customFormat="false" ht="15" hidden="false" customHeight="false" outlineLevel="0" collapsed="false">
      <c r="A28" s="12"/>
      <c r="B28" s="12"/>
      <c r="C28" s="12"/>
      <c r="D28" s="12"/>
      <c r="E28" s="12"/>
      <c r="F28" s="12"/>
      <c r="G28" s="13"/>
      <c r="H28" s="13"/>
      <c r="I28" s="7" t="str">
        <f aca="false">IF(AND(G28&lt;&gt;"",G28=H28),"yes",IF(G28="","",IF(G28&lt;&gt;H28,"NO","")))</f>
        <v/>
      </c>
      <c r="J28" s="13"/>
      <c r="K28" s="13"/>
    </row>
    <row r="29" customFormat="false" ht="15" hidden="false" customHeight="false" outlineLevel="0" collapsed="false">
      <c r="A29" s="12"/>
      <c r="B29" s="12"/>
      <c r="C29" s="12"/>
      <c r="D29" s="12"/>
      <c r="E29" s="12"/>
      <c r="F29" s="12"/>
      <c r="G29" s="13"/>
      <c r="H29" s="13"/>
      <c r="I29" s="7" t="str">
        <f aca="false">IF(AND(G29&lt;&gt;"",G29=H29),"yes",IF(G29="","",IF(G29&lt;&gt;H29,"NO","")))</f>
        <v/>
      </c>
      <c r="J29" s="13"/>
      <c r="K29" s="13"/>
    </row>
    <row r="30" customFormat="false" ht="15" hidden="false" customHeight="false" outlineLevel="0" collapsed="false">
      <c r="A30" s="12"/>
      <c r="B30" s="12"/>
      <c r="C30" s="12"/>
      <c r="D30" s="12"/>
      <c r="E30" s="12"/>
      <c r="F30" s="12"/>
      <c r="G30" s="13"/>
      <c r="H30" s="13"/>
      <c r="I30" s="7" t="str">
        <f aca="false">IF(AND(G30&lt;&gt;"",G30=H30),"yes",IF(G30="","",IF(G30&lt;&gt;H30,"NO","")))</f>
        <v/>
      </c>
      <c r="J30" s="13"/>
      <c r="K30" s="13"/>
    </row>
    <row r="31" customFormat="false" ht="15" hidden="false" customHeight="false" outlineLevel="0" collapsed="false">
      <c r="A31" s="12"/>
      <c r="B31" s="12"/>
      <c r="C31" s="12"/>
      <c r="D31" s="12"/>
      <c r="E31" s="12"/>
      <c r="F31" s="12"/>
      <c r="G31" s="13"/>
      <c r="H31" s="13"/>
      <c r="I31" s="7" t="str">
        <f aca="false">IF(AND(G31&lt;&gt;"",G31=H31),"yes",IF(G31="","",IF(G31&lt;&gt;H31,"NO","")))</f>
        <v/>
      </c>
      <c r="J31" s="13"/>
      <c r="K31" s="13"/>
    </row>
    <row r="32" customFormat="false" ht="15" hidden="false" customHeight="false" outlineLevel="0" collapsed="false">
      <c r="A32" s="12"/>
      <c r="B32" s="12"/>
      <c r="C32" s="12"/>
      <c r="D32" s="12"/>
      <c r="E32" s="12"/>
      <c r="F32" s="12"/>
      <c r="G32" s="13"/>
      <c r="H32" s="13"/>
      <c r="I32" s="7" t="str">
        <f aca="false">IF(AND(G32&lt;&gt;"",G32=H32),"yes",IF(G32="","",IF(G32&lt;&gt;H32,"NO","")))</f>
        <v/>
      </c>
      <c r="J32" s="13"/>
      <c r="K32" s="13"/>
    </row>
    <row r="33" customFormat="false" ht="15" hidden="false" customHeight="false" outlineLevel="0" collapsed="false">
      <c r="A33" s="12"/>
      <c r="B33" s="12"/>
      <c r="C33" s="12"/>
      <c r="D33" s="12"/>
      <c r="E33" s="12"/>
      <c r="F33" s="12"/>
      <c r="G33" s="13"/>
      <c r="H33" s="13"/>
      <c r="I33" s="7" t="str">
        <f aca="false">IF(AND(G33&lt;&gt;"",G33=H33),"yes",IF(G33="","",IF(G33&lt;&gt;H33,"NO","")))</f>
        <v/>
      </c>
      <c r="J33" s="13"/>
      <c r="K33" s="13"/>
    </row>
    <row r="34" customFormat="false" ht="15" hidden="false" customHeight="false" outlineLevel="0" collapsed="false">
      <c r="A34" s="12"/>
      <c r="B34" s="12"/>
      <c r="C34" s="12"/>
      <c r="D34" s="12"/>
      <c r="E34" s="12"/>
      <c r="F34" s="12"/>
      <c r="G34" s="13"/>
      <c r="H34" s="13"/>
      <c r="I34" s="7" t="str">
        <f aca="false">IF(AND(G34&lt;&gt;"",G34=H34),"yes",IF(G34="","",IF(G34&lt;&gt;H34,"NO","")))</f>
        <v/>
      </c>
      <c r="J34" s="13"/>
      <c r="K34" s="13"/>
    </row>
    <row r="35" customFormat="false" ht="15" hidden="false" customHeight="false" outlineLevel="0" collapsed="false">
      <c r="A35" s="12"/>
      <c r="B35" s="12"/>
      <c r="C35" s="12"/>
      <c r="D35" s="12"/>
      <c r="E35" s="12"/>
      <c r="F35" s="12"/>
      <c r="G35" s="13"/>
      <c r="H35" s="13"/>
      <c r="I35" s="7" t="str">
        <f aca="false">IF(AND(G35&lt;&gt;"",G35=H35),"yes",IF(G35="","",IF(G35&lt;&gt;H35,"NO","")))</f>
        <v/>
      </c>
      <c r="J35" s="13"/>
      <c r="K35" s="13"/>
    </row>
    <row r="36" customFormat="false" ht="15" hidden="false" customHeight="false" outlineLevel="0" collapsed="false">
      <c r="A36" s="12"/>
      <c r="B36" s="12"/>
      <c r="C36" s="12"/>
      <c r="D36" s="12"/>
      <c r="E36" s="12"/>
      <c r="F36" s="12"/>
      <c r="G36" s="13"/>
      <c r="H36" s="13"/>
      <c r="I36" s="7" t="str">
        <f aca="false">IF(AND(G36&lt;&gt;"",G36=H36),"yes",IF(G36="","",IF(G36&lt;&gt;H36,"NO","")))</f>
        <v/>
      </c>
      <c r="J36" s="13"/>
      <c r="K36" s="13"/>
    </row>
    <row r="37" customFormat="false" ht="15" hidden="false" customHeight="false" outlineLevel="0" collapsed="false">
      <c r="A37" s="12"/>
      <c r="B37" s="12"/>
      <c r="C37" s="12"/>
      <c r="D37" s="12"/>
      <c r="E37" s="12"/>
      <c r="F37" s="12"/>
      <c r="G37" s="13"/>
      <c r="H37" s="13"/>
      <c r="I37" s="7" t="str">
        <f aca="false">IF(AND(G37&lt;&gt;"",G37=H37),"yes",IF(G37="","",IF(G37&lt;&gt;H37,"NO","")))</f>
        <v/>
      </c>
      <c r="J37" s="13"/>
      <c r="K37" s="13"/>
    </row>
    <row r="38" customFormat="false" ht="15" hidden="false" customHeight="false" outlineLevel="0" collapsed="false">
      <c r="A38" s="12"/>
      <c r="B38" s="12"/>
      <c r="C38" s="12"/>
      <c r="D38" s="12"/>
      <c r="E38" s="12"/>
      <c r="F38" s="12"/>
      <c r="G38" s="13"/>
      <c r="H38" s="13"/>
      <c r="I38" s="7" t="str">
        <f aca="false">IF(AND(G38&lt;&gt;"",G38=H38),"yes",IF(G38="","",IF(G38&lt;&gt;H38,"NO","")))</f>
        <v/>
      </c>
      <c r="J38" s="13"/>
      <c r="K38" s="13"/>
    </row>
    <row r="39" customFormat="false" ht="15" hidden="false" customHeight="false" outlineLevel="0" collapsed="false">
      <c r="A39" s="12"/>
      <c r="B39" s="12"/>
      <c r="C39" s="12"/>
      <c r="D39" s="12"/>
      <c r="E39" s="12"/>
      <c r="F39" s="12"/>
      <c r="G39" s="13"/>
      <c r="H39" s="13"/>
      <c r="I39" s="7" t="str">
        <f aca="false">IF(AND(G39&lt;&gt;"",G39=H39),"yes",IF(G39="","",IF(G39&lt;&gt;H39,"NO","")))</f>
        <v/>
      </c>
      <c r="J39" s="13"/>
      <c r="K39" s="13"/>
    </row>
    <row r="40" customFormat="false" ht="15" hidden="false" customHeight="false" outlineLevel="0" collapsed="false">
      <c r="A40" s="12"/>
      <c r="B40" s="12"/>
      <c r="C40" s="12"/>
      <c r="D40" s="12"/>
      <c r="E40" s="12"/>
      <c r="F40" s="12"/>
      <c r="G40" s="13"/>
      <c r="H40" s="13"/>
      <c r="I40" s="7" t="str">
        <f aca="false">IF(AND(G40&lt;&gt;"",G40=H40),"yes",IF(G40="","",IF(G40&lt;&gt;H40,"NO","")))</f>
        <v/>
      </c>
      <c r="J40" s="13"/>
      <c r="K40" s="13"/>
    </row>
    <row r="41" customFormat="false" ht="15" hidden="false" customHeight="false" outlineLevel="0" collapsed="false">
      <c r="A41" s="12"/>
      <c r="B41" s="12"/>
      <c r="C41" s="12"/>
      <c r="D41" s="12"/>
      <c r="E41" s="12"/>
      <c r="F41" s="12"/>
      <c r="G41" s="13"/>
      <c r="H41" s="13"/>
      <c r="I41" s="7" t="str">
        <f aca="false">IF(AND(G41&lt;&gt;"",G41=H41),"yes",IF(G41="","",IF(G41&lt;&gt;H41,"NO","")))</f>
        <v/>
      </c>
      <c r="J41" s="13"/>
      <c r="K41" s="13"/>
    </row>
    <row r="42" customFormat="false" ht="15" hidden="false" customHeight="false" outlineLevel="0" collapsed="false">
      <c r="A42" s="12"/>
      <c r="B42" s="12"/>
      <c r="C42" s="12"/>
      <c r="D42" s="12"/>
      <c r="E42" s="12"/>
      <c r="F42" s="12"/>
      <c r="G42" s="13"/>
      <c r="H42" s="13"/>
      <c r="I42" s="7" t="str">
        <f aca="false">IF(AND(G42&lt;&gt;"",G42=H42),"yes",IF(G42="","",IF(G42&lt;&gt;H42,"NO","")))</f>
        <v/>
      </c>
      <c r="J42" s="13"/>
      <c r="K42" s="13"/>
    </row>
    <row r="43" customFormat="false" ht="15" hidden="false" customHeight="false" outlineLevel="0" collapsed="false">
      <c r="A43" s="12"/>
      <c r="B43" s="12"/>
      <c r="C43" s="12"/>
      <c r="D43" s="12"/>
      <c r="E43" s="12"/>
      <c r="F43" s="12"/>
      <c r="G43" s="13"/>
      <c r="H43" s="13"/>
      <c r="I43" s="7" t="str">
        <f aca="false">IF(AND(G43&lt;&gt;"",G43=H43),"yes",IF(G43="","",IF(G43&lt;&gt;H43,"NO","")))</f>
        <v/>
      </c>
      <c r="J43" s="13"/>
      <c r="K43" s="13"/>
    </row>
    <row r="44" customFormat="false" ht="15" hidden="false" customHeight="false" outlineLevel="0" collapsed="false">
      <c r="A44" s="12"/>
      <c r="B44" s="12"/>
      <c r="C44" s="12"/>
      <c r="D44" s="12"/>
      <c r="E44" s="12"/>
      <c r="F44" s="12"/>
      <c r="G44" s="13"/>
      <c r="H44" s="13"/>
      <c r="I44" s="7" t="str">
        <f aca="false">IF(AND(G44&lt;&gt;"",G44=H44),"yes",IF(G44="","",IF(G44&lt;&gt;H44,"NO","")))</f>
        <v/>
      </c>
      <c r="J44" s="13"/>
      <c r="K44" s="13"/>
    </row>
    <row r="45" customFormat="false" ht="15" hidden="false" customHeight="false" outlineLevel="0" collapsed="false">
      <c r="A45" s="12"/>
      <c r="B45" s="12"/>
      <c r="C45" s="12"/>
      <c r="D45" s="12"/>
      <c r="E45" s="12"/>
      <c r="F45" s="12"/>
      <c r="G45" s="13"/>
      <c r="H45" s="13"/>
      <c r="I45" s="7" t="str">
        <f aca="false">IF(AND(G45&lt;&gt;"",G45=H45),"yes",IF(G45="","",IF(G45&lt;&gt;H45,"NO","")))</f>
        <v/>
      </c>
      <c r="J45" s="13"/>
      <c r="K45" s="13"/>
    </row>
    <row r="46" customFormat="false" ht="15" hidden="false" customHeight="false" outlineLevel="0" collapsed="false">
      <c r="A46" s="12"/>
      <c r="B46" s="12"/>
      <c r="C46" s="12"/>
      <c r="D46" s="12"/>
      <c r="E46" s="12"/>
      <c r="F46" s="12"/>
      <c r="G46" s="13"/>
      <c r="H46" s="13"/>
      <c r="I46" s="7" t="str">
        <f aca="false">IF(AND(G46&lt;&gt;"",G46=H46),"yes",IF(G46="","",IF(G46&lt;&gt;H46,"NO","")))</f>
        <v/>
      </c>
      <c r="J46" s="13"/>
      <c r="K46" s="13"/>
    </row>
    <row r="47" customFormat="false" ht="15" hidden="false" customHeight="false" outlineLevel="0" collapsed="false">
      <c r="A47" s="12"/>
      <c r="B47" s="12"/>
      <c r="C47" s="12"/>
      <c r="D47" s="12"/>
      <c r="E47" s="12"/>
      <c r="F47" s="12"/>
      <c r="G47" s="13"/>
      <c r="H47" s="13"/>
      <c r="I47" s="7" t="str">
        <f aca="false">IF(AND(G47&lt;&gt;"",G47=H47),"yes",IF(G47="","",IF(G47&lt;&gt;H47,"NO","")))</f>
        <v/>
      </c>
      <c r="J47" s="13"/>
      <c r="K47" s="13"/>
    </row>
    <row r="48" customFormat="false" ht="15" hidden="false" customHeight="false" outlineLevel="0" collapsed="false">
      <c r="A48" s="12"/>
      <c r="B48" s="12"/>
      <c r="C48" s="12"/>
      <c r="D48" s="12"/>
      <c r="E48" s="12"/>
      <c r="F48" s="12"/>
      <c r="G48" s="13"/>
      <c r="H48" s="13"/>
      <c r="I48" s="7" t="str">
        <f aca="false">IF(AND(G48&lt;&gt;"",G48=H48),"yes",IF(G48="","",IF(G48&lt;&gt;H48,"NO","")))</f>
        <v/>
      </c>
      <c r="J48" s="13"/>
      <c r="K48" s="13"/>
    </row>
    <row r="49" customFormat="false" ht="15" hidden="false" customHeight="false" outlineLevel="0" collapsed="false">
      <c r="A49" s="12"/>
      <c r="B49" s="12"/>
      <c r="C49" s="12"/>
      <c r="D49" s="12"/>
      <c r="E49" s="12"/>
      <c r="F49" s="12"/>
      <c r="G49" s="13"/>
      <c r="H49" s="13"/>
      <c r="I49" s="7" t="str">
        <f aca="false">IF(AND(G49&lt;&gt;"",G49=H49),"yes",IF(G49="","",IF(G49&lt;&gt;H49,"NO","")))</f>
        <v/>
      </c>
      <c r="J49" s="13"/>
      <c r="K49" s="13"/>
    </row>
    <row r="50" customFormat="false" ht="15" hidden="false" customHeight="false" outlineLevel="0" collapsed="false">
      <c r="A50" s="12"/>
      <c r="B50" s="12"/>
      <c r="C50" s="12"/>
      <c r="D50" s="12"/>
      <c r="E50" s="12"/>
      <c r="F50" s="12"/>
      <c r="G50" s="13"/>
      <c r="H50" s="13"/>
      <c r="I50" s="7" t="str">
        <f aca="false">IF(AND(G50&lt;&gt;"",G50=H50),"yes",IF(G50="","",IF(G50&lt;&gt;H50,"NO","")))</f>
        <v/>
      </c>
      <c r="J50" s="13"/>
      <c r="K50" s="13"/>
    </row>
    <row r="51" customFormat="false" ht="15" hidden="false" customHeight="false" outlineLevel="0" collapsed="false">
      <c r="A51" s="12"/>
      <c r="B51" s="12"/>
      <c r="C51" s="12"/>
      <c r="D51" s="12"/>
      <c r="E51" s="12"/>
      <c r="F51" s="12"/>
      <c r="G51" s="13"/>
      <c r="H51" s="13"/>
      <c r="I51" s="7" t="str">
        <f aca="false">IF(AND(G51&lt;&gt;"",G51=H51),"yes",IF(G51="","",IF(G51&lt;&gt;H51,"NO","")))</f>
        <v/>
      </c>
      <c r="J51" s="13"/>
      <c r="K51" s="13"/>
    </row>
    <row r="52" customFormat="false" ht="15" hidden="false" customHeight="false" outlineLevel="0" collapsed="false">
      <c r="A52" s="12"/>
      <c r="B52" s="12"/>
      <c r="C52" s="12"/>
      <c r="D52" s="12"/>
      <c r="E52" s="12"/>
      <c r="F52" s="12"/>
      <c r="G52" s="13"/>
      <c r="H52" s="13"/>
      <c r="I52" s="7" t="str">
        <f aca="false">IF(AND(G52&lt;&gt;"",G52=H52),"yes",IF(G52="","",IF(G52&lt;&gt;H52,"NO","")))</f>
        <v/>
      </c>
      <c r="J52" s="13"/>
      <c r="K52" s="13"/>
    </row>
    <row r="53" customFormat="false" ht="15" hidden="false" customHeight="false" outlineLevel="0" collapsed="false">
      <c r="A53" s="12"/>
      <c r="B53" s="12"/>
      <c r="C53" s="12"/>
      <c r="D53" s="12"/>
      <c r="E53" s="12"/>
      <c r="F53" s="12"/>
      <c r="G53" s="13"/>
      <c r="H53" s="13"/>
      <c r="I53" s="7" t="str">
        <f aca="false">IF(AND(G53&lt;&gt;"",G53=H53),"yes",IF(G53="","",IF(G53&lt;&gt;H53,"NO","")))</f>
        <v/>
      </c>
      <c r="J53" s="13"/>
      <c r="K53" s="13"/>
    </row>
    <row r="54" customFormat="false" ht="15" hidden="false" customHeight="false" outlineLevel="0" collapsed="false">
      <c r="A54" s="12"/>
      <c r="B54" s="12"/>
      <c r="C54" s="12"/>
      <c r="D54" s="12"/>
      <c r="E54" s="12"/>
      <c r="F54" s="12"/>
      <c r="G54" s="13"/>
      <c r="H54" s="13"/>
      <c r="I54" s="7" t="str">
        <f aca="false">IF(AND(G54&lt;&gt;"",G54=H54),"yes",IF(G54="","",IF(G54&lt;&gt;H54,"NO","")))</f>
        <v/>
      </c>
      <c r="J54" s="13"/>
      <c r="K54" s="13"/>
    </row>
    <row r="55" customFormat="false" ht="15" hidden="false" customHeight="false" outlineLevel="0" collapsed="false">
      <c r="A55" s="12"/>
      <c r="B55" s="12"/>
      <c r="C55" s="12"/>
      <c r="D55" s="12"/>
      <c r="E55" s="12"/>
      <c r="F55" s="12"/>
      <c r="G55" s="13"/>
      <c r="H55" s="13"/>
      <c r="I55" s="7" t="str">
        <f aca="false">IF(AND(G55&lt;&gt;"",G55=H55),"yes",IF(G55="","",IF(G55&lt;&gt;H55,"NO","")))</f>
        <v/>
      </c>
      <c r="J55" s="13"/>
      <c r="K55" s="13"/>
    </row>
    <row r="56" customFormat="false" ht="15" hidden="false" customHeight="false" outlineLevel="0" collapsed="false">
      <c r="A56" s="12"/>
      <c r="B56" s="12"/>
      <c r="C56" s="12"/>
      <c r="D56" s="12"/>
      <c r="E56" s="12"/>
      <c r="F56" s="12"/>
      <c r="G56" s="13"/>
      <c r="H56" s="13"/>
      <c r="I56" s="7" t="str">
        <f aca="false">IF(AND(G56&lt;&gt;"",G56=H56),"yes",IF(G56="","",IF(G56&lt;&gt;H56,"NO","")))</f>
        <v/>
      </c>
      <c r="J56" s="13"/>
      <c r="K56" s="13"/>
    </row>
    <row r="57" customFormat="false" ht="15" hidden="false" customHeight="false" outlineLevel="0" collapsed="false">
      <c r="A57" s="12"/>
      <c r="B57" s="12"/>
      <c r="C57" s="12"/>
      <c r="D57" s="12"/>
      <c r="E57" s="12"/>
      <c r="F57" s="12"/>
      <c r="G57" s="13"/>
      <c r="H57" s="13"/>
      <c r="I57" s="7" t="str">
        <f aca="false">IF(AND(G57&lt;&gt;"",G57=H57),"yes",IF(G57="","",IF(G57&lt;&gt;H57,"NO","")))</f>
        <v/>
      </c>
      <c r="J57" s="13"/>
      <c r="K57" s="13"/>
    </row>
    <row r="58" customFormat="false" ht="15" hidden="false" customHeight="false" outlineLevel="0" collapsed="false">
      <c r="A58" s="12"/>
      <c r="B58" s="12"/>
      <c r="C58" s="12"/>
      <c r="D58" s="12"/>
      <c r="E58" s="12"/>
      <c r="F58" s="12"/>
      <c r="G58" s="13"/>
      <c r="H58" s="13"/>
      <c r="I58" s="7" t="str">
        <f aca="false">IF(AND(G58&lt;&gt;"",G58=H58),"yes",IF(G58="","",IF(G58&lt;&gt;H58,"NO","")))</f>
        <v/>
      </c>
      <c r="J58" s="13"/>
      <c r="K58" s="13"/>
    </row>
    <row r="59" customFormat="false" ht="15" hidden="false" customHeight="false" outlineLevel="0" collapsed="false">
      <c r="A59" s="12"/>
      <c r="B59" s="12"/>
      <c r="C59" s="12"/>
      <c r="D59" s="12"/>
      <c r="E59" s="12"/>
      <c r="F59" s="12"/>
      <c r="G59" s="13"/>
      <c r="H59" s="13"/>
      <c r="I59" s="7" t="str">
        <f aca="false">IF(AND(G59&lt;&gt;"",G59=H59),"yes",IF(G59="","",IF(G59&lt;&gt;H59,"NO","")))</f>
        <v/>
      </c>
      <c r="J59" s="13"/>
      <c r="K59" s="13"/>
    </row>
    <row r="60" customFormat="false" ht="15" hidden="false" customHeight="false" outlineLevel="0" collapsed="false">
      <c r="A60" s="12"/>
      <c r="B60" s="12"/>
      <c r="C60" s="12"/>
      <c r="D60" s="12"/>
      <c r="E60" s="12"/>
      <c r="F60" s="12"/>
      <c r="G60" s="13"/>
      <c r="H60" s="13"/>
      <c r="I60" s="7" t="str">
        <f aca="false">IF(AND(G60&lt;&gt;"",G60=H60),"yes",IF(G60="","",IF(G60&lt;&gt;H60,"NO","")))</f>
        <v/>
      </c>
      <c r="J60" s="13"/>
      <c r="K60" s="13"/>
    </row>
    <row r="61" customFormat="false" ht="15" hidden="false" customHeight="false" outlineLevel="0" collapsed="false">
      <c r="A61" s="12"/>
      <c r="B61" s="12"/>
      <c r="C61" s="12"/>
      <c r="D61" s="12"/>
      <c r="E61" s="12"/>
      <c r="F61" s="12"/>
      <c r="G61" s="13"/>
      <c r="H61" s="13"/>
      <c r="I61" s="7" t="str">
        <f aca="false">IF(AND(G61&lt;&gt;"",G61=H61),"yes",IF(G61="","",IF(G61&lt;&gt;H61,"NO","")))</f>
        <v/>
      </c>
      <c r="J61" s="13"/>
      <c r="K61" s="13"/>
    </row>
    <row r="62" customFormat="false" ht="15" hidden="false" customHeight="false" outlineLevel="0" collapsed="false">
      <c r="A62" s="12"/>
      <c r="B62" s="12"/>
      <c r="C62" s="12"/>
      <c r="D62" s="12"/>
      <c r="E62" s="12"/>
      <c r="F62" s="12"/>
      <c r="G62" s="13"/>
      <c r="H62" s="13"/>
      <c r="I62" s="7" t="str">
        <f aca="false">IF(AND(G62&lt;&gt;"",G62=H62),"yes",IF(G62="","",IF(G62&lt;&gt;H62,"NO","")))</f>
        <v/>
      </c>
      <c r="J62" s="13"/>
      <c r="K62" s="13"/>
    </row>
    <row r="63" customFormat="false" ht="15" hidden="false" customHeight="false" outlineLevel="0" collapsed="false">
      <c r="A63" s="12"/>
      <c r="B63" s="12"/>
      <c r="C63" s="12"/>
      <c r="D63" s="12"/>
      <c r="E63" s="12"/>
      <c r="F63" s="12"/>
      <c r="G63" s="13"/>
      <c r="H63" s="13"/>
      <c r="I63" s="7" t="str">
        <f aca="false">IF(AND(G63&lt;&gt;"",G63=H63),"yes",IF(G63="","",IF(G63&lt;&gt;H63,"NO","")))</f>
        <v/>
      </c>
      <c r="J63" s="13"/>
      <c r="K63" s="13"/>
    </row>
    <row r="64" customFormat="false" ht="15" hidden="false" customHeight="false" outlineLevel="0" collapsed="false">
      <c r="A64" s="12"/>
      <c r="B64" s="12"/>
      <c r="C64" s="12"/>
      <c r="D64" s="12"/>
      <c r="E64" s="12"/>
      <c r="F64" s="12"/>
      <c r="G64" s="13"/>
      <c r="H64" s="13"/>
      <c r="I64" s="7" t="str">
        <f aca="false">IF(AND(G64&lt;&gt;"",G64=H64),"yes",IF(G64="","",IF(G64&lt;&gt;H64,"NO","")))</f>
        <v/>
      </c>
      <c r="J64" s="13"/>
      <c r="K64" s="13"/>
    </row>
    <row r="65" customFormat="false" ht="15" hidden="false" customHeight="false" outlineLevel="0" collapsed="false">
      <c r="A65" s="12"/>
      <c r="B65" s="12"/>
      <c r="C65" s="12"/>
      <c r="D65" s="12"/>
      <c r="E65" s="12"/>
      <c r="F65" s="12"/>
      <c r="G65" s="13"/>
      <c r="H65" s="13"/>
      <c r="I65" s="7" t="str">
        <f aca="false">IF(AND(G65&lt;&gt;"",G65=H65),"yes",IF(G65="","",IF(G65&lt;&gt;H65,"NO","")))</f>
        <v/>
      </c>
      <c r="J65" s="13"/>
      <c r="K65" s="13"/>
    </row>
    <row r="66" customFormat="false" ht="15" hidden="false" customHeight="false" outlineLevel="0" collapsed="false">
      <c r="A66" s="12"/>
      <c r="B66" s="12"/>
      <c r="C66" s="12"/>
      <c r="D66" s="12"/>
      <c r="E66" s="12"/>
      <c r="F66" s="12"/>
      <c r="G66" s="13"/>
      <c r="H66" s="13"/>
      <c r="I66" s="7" t="str">
        <f aca="false">IF(AND(G66&lt;&gt;"",G66=H66),"yes",IF(G66="","",IF(G66&lt;&gt;H66,"NO","")))</f>
        <v/>
      </c>
      <c r="J66" s="13"/>
      <c r="K66" s="13"/>
    </row>
    <row r="67" customFormat="false" ht="15" hidden="false" customHeight="false" outlineLevel="0" collapsed="false">
      <c r="A67" s="12"/>
      <c r="B67" s="12"/>
      <c r="C67" s="12"/>
      <c r="D67" s="12"/>
      <c r="E67" s="12"/>
      <c r="F67" s="12"/>
      <c r="G67" s="13"/>
      <c r="H67" s="13"/>
      <c r="I67" s="7" t="str">
        <f aca="false">IF(AND(G67&lt;&gt;"",G67=H67),"yes",IF(G67="","",IF(G67&lt;&gt;H67,"NO","")))</f>
        <v/>
      </c>
      <c r="J67" s="13"/>
      <c r="K67" s="13"/>
    </row>
    <row r="68" customFormat="false" ht="15" hidden="false" customHeight="false" outlineLevel="0" collapsed="false">
      <c r="A68" s="12"/>
      <c r="B68" s="12"/>
      <c r="C68" s="12"/>
      <c r="D68" s="12"/>
      <c r="E68" s="12"/>
      <c r="F68" s="12"/>
      <c r="G68" s="13"/>
      <c r="H68" s="13"/>
      <c r="I68" s="7" t="str">
        <f aca="false">IF(AND(G68&lt;&gt;"",G68=H68),"yes",IF(G68="","",IF(G68&lt;&gt;H68,"NO","")))</f>
        <v/>
      </c>
      <c r="J68" s="13"/>
      <c r="K68" s="13"/>
    </row>
    <row r="69" customFormat="false" ht="15" hidden="false" customHeight="false" outlineLevel="0" collapsed="false">
      <c r="A69" s="12"/>
      <c r="B69" s="12"/>
      <c r="C69" s="12"/>
      <c r="D69" s="12"/>
      <c r="E69" s="12"/>
      <c r="F69" s="12"/>
      <c r="G69" s="13"/>
      <c r="H69" s="13"/>
      <c r="I69" s="7" t="str">
        <f aca="false">IF(AND(G69&lt;&gt;"",G69=H69),"yes",IF(G69="","",IF(G69&lt;&gt;H69,"NO","")))</f>
        <v/>
      </c>
      <c r="J69" s="13"/>
      <c r="K69" s="13"/>
    </row>
    <row r="70" customFormat="false" ht="15" hidden="false" customHeight="false" outlineLevel="0" collapsed="false">
      <c r="A70" s="12"/>
      <c r="B70" s="12"/>
      <c r="C70" s="12"/>
      <c r="D70" s="12"/>
      <c r="E70" s="12"/>
      <c r="F70" s="12"/>
      <c r="G70" s="13"/>
      <c r="H70" s="13"/>
      <c r="I70" s="7" t="str">
        <f aca="false">IF(AND(G70&lt;&gt;"",G70=H70),"yes",IF(G70="","",IF(G70&lt;&gt;H70,"NO","")))</f>
        <v/>
      </c>
      <c r="J70" s="13"/>
      <c r="K70" s="13"/>
    </row>
    <row r="71" customFormat="false" ht="15" hidden="false" customHeight="false" outlineLevel="0" collapsed="false">
      <c r="A71" s="12"/>
      <c r="B71" s="12"/>
      <c r="C71" s="12"/>
      <c r="D71" s="12"/>
      <c r="E71" s="12"/>
      <c r="F71" s="12"/>
      <c r="G71" s="13"/>
      <c r="H71" s="13"/>
      <c r="I71" s="7" t="str">
        <f aca="false">IF(AND(G71&lt;&gt;"",G71=H71),"yes",IF(G71="","",IF(G71&lt;&gt;H71,"NO","")))</f>
        <v/>
      </c>
      <c r="J71" s="13"/>
      <c r="K71" s="13"/>
    </row>
    <row r="72" customFormat="false" ht="15" hidden="false" customHeight="false" outlineLevel="0" collapsed="false">
      <c r="A72" s="12"/>
      <c r="B72" s="12"/>
      <c r="C72" s="12"/>
      <c r="D72" s="12"/>
      <c r="E72" s="12"/>
      <c r="F72" s="12"/>
      <c r="G72" s="13"/>
      <c r="H72" s="13"/>
      <c r="I72" s="7" t="str">
        <f aca="false">IF(AND(G72&lt;&gt;"",G72=H72),"yes",IF(G72="","",IF(G72&lt;&gt;H72,"NO","")))</f>
        <v/>
      </c>
      <c r="J72" s="13"/>
      <c r="K72" s="13"/>
    </row>
    <row r="73" customFormat="false" ht="15" hidden="false" customHeight="false" outlineLevel="0" collapsed="false">
      <c r="A73" s="12"/>
      <c r="B73" s="12"/>
      <c r="C73" s="12"/>
      <c r="D73" s="12"/>
      <c r="E73" s="12"/>
      <c r="F73" s="12"/>
      <c r="G73" s="13"/>
      <c r="H73" s="13"/>
      <c r="I73" s="7" t="str">
        <f aca="false">IF(AND(G73&lt;&gt;"",G73=H73),"yes",IF(G73="","",IF(G73&lt;&gt;H73,"NO","")))</f>
        <v/>
      </c>
      <c r="J73" s="13"/>
      <c r="K73" s="13"/>
    </row>
    <row r="74" customFormat="false" ht="15" hidden="false" customHeight="false" outlineLevel="0" collapsed="false">
      <c r="A74" s="12"/>
      <c r="B74" s="12"/>
      <c r="C74" s="12"/>
      <c r="D74" s="12"/>
      <c r="E74" s="12"/>
      <c r="F74" s="12"/>
      <c r="G74" s="13"/>
      <c r="H74" s="13"/>
      <c r="I74" s="7" t="str">
        <f aca="false">IF(AND(G74&lt;&gt;"",G74=H74),"yes",IF(G74="","",IF(G74&lt;&gt;H74,"NO","")))</f>
        <v/>
      </c>
      <c r="J74" s="13"/>
      <c r="K74" s="13"/>
    </row>
    <row r="75" customFormat="false" ht="15" hidden="false" customHeight="false" outlineLevel="0" collapsed="false">
      <c r="A75" s="12"/>
      <c r="B75" s="12"/>
      <c r="C75" s="12"/>
      <c r="D75" s="12"/>
      <c r="E75" s="12"/>
      <c r="F75" s="12"/>
      <c r="G75" s="13"/>
      <c r="H75" s="13"/>
      <c r="I75" s="7" t="str">
        <f aca="false">IF(AND(G75&lt;&gt;"",G75=H75),"yes",IF(G75="","",IF(G75&lt;&gt;H75,"NO","")))</f>
        <v/>
      </c>
      <c r="J75" s="13"/>
      <c r="K75" s="13"/>
    </row>
    <row r="76" customFormat="false" ht="15" hidden="false" customHeight="false" outlineLevel="0" collapsed="false">
      <c r="A76" s="12"/>
      <c r="B76" s="12"/>
      <c r="C76" s="12"/>
      <c r="D76" s="12"/>
      <c r="E76" s="12"/>
      <c r="F76" s="12"/>
      <c r="G76" s="13"/>
      <c r="H76" s="13"/>
      <c r="I76" s="7" t="str">
        <f aca="false">IF(AND(G76&lt;&gt;"",G76=H76),"yes",IF(G76="","",IF(G76&lt;&gt;H76,"NO","")))</f>
        <v/>
      </c>
      <c r="J76" s="13"/>
      <c r="K76" s="13"/>
    </row>
    <row r="77" customFormat="false" ht="15" hidden="false" customHeight="false" outlineLevel="0" collapsed="false">
      <c r="A77" s="12"/>
      <c r="B77" s="12"/>
      <c r="C77" s="12"/>
      <c r="D77" s="12"/>
      <c r="E77" s="12"/>
      <c r="F77" s="12"/>
      <c r="G77" s="13"/>
      <c r="H77" s="13"/>
      <c r="I77" s="7" t="str">
        <f aca="false">IF(AND(G77&lt;&gt;"",G77=H77),"yes",IF(G77="","",IF(G77&lt;&gt;H77,"NO","")))</f>
        <v/>
      </c>
      <c r="J77" s="13"/>
      <c r="K77" s="13"/>
    </row>
    <row r="78" customFormat="false" ht="15" hidden="false" customHeight="false" outlineLevel="0" collapsed="false">
      <c r="A78" s="12"/>
      <c r="B78" s="12"/>
      <c r="C78" s="12"/>
      <c r="D78" s="12"/>
      <c r="E78" s="12"/>
      <c r="F78" s="12"/>
      <c r="G78" s="13"/>
      <c r="H78" s="13"/>
      <c r="I78" s="7" t="str">
        <f aca="false">IF(AND(G78&lt;&gt;"",G78=H78),"yes",IF(G78="","",IF(G78&lt;&gt;H78,"NO","")))</f>
        <v/>
      </c>
      <c r="J78" s="13"/>
      <c r="K78" s="13"/>
    </row>
    <row r="79" customFormat="false" ht="15" hidden="false" customHeight="false" outlineLevel="0" collapsed="false">
      <c r="A79" s="12"/>
      <c r="B79" s="12"/>
      <c r="C79" s="12"/>
      <c r="D79" s="12"/>
      <c r="E79" s="12"/>
      <c r="F79" s="12"/>
      <c r="G79" s="13"/>
      <c r="H79" s="13"/>
      <c r="I79" s="7" t="str">
        <f aca="false">IF(AND(G79&lt;&gt;"",G79=H79),"yes",IF(G79="","",IF(G79&lt;&gt;H79,"NO","")))</f>
        <v/>
      </c>
      <c r="J79" s="13"/>
      <c r="K79" s="13"/>
    </row>
    <row r="80" customFormat="false" ht="15" hidden="false" customHeight="false" outlineLevel="0" collapsed="false">
      <c r="A80" s="12"/>
      <c r="B80" s="12"/>
      <c r="C80" s="12"/>
      <c r="D80" s="12"/>
      <c r="E80" s="12"/>
      <c r="F80" s="12"/>
      <c r="G80" s="13"/>
      <c r="H80" s="13"/>
      <c r="I80" s="7" t="str">
        <f aca="false">IF(AND(G80&lt;&gt;"",G80=H80),"yes",IF(G80="","",IF(G80&lt;&gt;H80,"NO","")))</f>
        <v/>
      </c>
      <c r="J80" s="13"/>
      <c r="K80" s="13"/>
    </row>
    <row r="81" customFormat="false" ht="15" hidden="false" customHeight="false" outlineLevel="0" collapsed="false">
      <c r="A81" s="12"/>
      <c r="B81" s="12"/>
      <c r="C81" s="12"/>
      <c r="D81" s="12"/>
      <c r="E81" s="12"/>
      <c r="F81" s="12"/>
      <c r="G81" s="13"/>
      <c r="H81" s="13"/>
      <c r="I81" s="7" t="str">
        <f aca="false">IF(AND(G81&lt;&gt;"",G81=H81),"yes",IF(G81="","",IF(G81&lt;&gt;H81,"NO","")))</f>
        <v/>
      </c>
      <c r="J81" s="13"/>
      <c r="K81" s="13"/>
    </row>
    <row r="82" customFormat="false" ht="15" hidden="false" customHeight="false" outlineLevel="0" collapsed="false">
      <c r="A82" s="12"/>
      <c r="B82" s="12"/>
      <c r="C82" s="12"/>
      <c r="D82" s="12"/>
      <c r="E82" s="12"/>
      <c r="F82" s="12"/>
      <c r="G82" s="13"/>
      <c r="H82" s="13"/>
      <c r="I82" s="7" t="str">
        <f aca="false">IF(AND(G82&lt;&gt;"",G82=H82),"yes",IF(G82="","",IF(G82&lt;&gt;H82,"NO","")))</f>
        <v/>
      </c>
      <c r="J82" s="13"/>
      <c r="K82" s="13"/>
    </row>
    <row r="83" customFormat="false" ht="15" hidden="false" customHeight="false" outlineLevel="0" collapsed="false">
      <c r="A83" s="12"/>
      <c r="B83" s="12"/>
      <c r="C83" s="12"/>
      <c r="D83" s="12"/>
      <c r="E83" s="12"/>
      <c r="F83" s="12"/>
      <c r="G83" s="13"/>
      <c r="H83" s="13"/>
      <c r="I83" s="7" t="str">
        <f aca="false">IF(AND(G83&lt;&gt;"",G83=H83),"yes",IF(G83="","",IF(G83&lt;&gt;H83,"NO","")))</f>
        <v/>
      </c>
      <c r="J83" s="13"/>
      <c r="K83" s="13"/>
    </row>
    <row r="84" customFormat="false" ht="15" hidden="false" customHeight="false" outlineLevel="0" collapsed="false">
      <c r="A84" s="12"/>
      <c r="B84" s="12"/>
      <c r="C84" s="12"/>
      <c r="D84" s="12"/>
      <c r="E84" s="12"/>
      <c r="F84" s="12"/>
      <c r="G84" s="13"/>
      <c r="H84" s="13"/>
      <c r="I84" s="7" t="str">
        <f aca="false">IF(AND(G84&lt;&gt;"",G84=H84),"yes",IF(G84="","",IF(G84&lt;&gt;H84,"NO","")))</f>
        <v/>
      </c>
      <c r="J84" s="13"/>
      <c r="K84" s="13"/>
    </row>
    <row r="85" customFormat="false" ht="15" hidden="false" customHeight="false" outlineLevel="0" collapsed="false">
      <c r="A85" s="12"/>
      <c r="B85" s="12"/>
      <c r="C85" s="12"/>
      <c r="D85" s="12"/>
      <c r="E85" s="12"/>
      <c r="F85" s="12"/>
      <c r="G85" s="13"/>
      <c r="H85" s="13"/>
      <c r="I85" s="7" t="str">
        <f aca="false">IF(AND(G85&lt;&gt;"",G85=H85),"yes",IF(G85="","",IF(G85&lt;&gt;H85,"NO","")))</f>
        <v/>
      </c>
      <c r="J85" s="13"/>
      <c r="K85" s="13"/>
    </row>
    <row r="86" customFormat="false" ht="15" hidden="false" customHeight="false" outlineLevel="0" collapsed="false">
      <c r="A86" s="12"/>
      <c r="B86" s="12"/>
      <c r="C86" s="12"/>
      <c r="D86" s="12"/>
      <c r="E86" s="12"/>
      <c r="F86" s="12"/>
      <c r="G86" s="13"/>
      <c r="H86" s="13"/>
      <c r="I86" s="7" t="str">
        <f aca="false">IF(AND(G86&lt;&gt;"",G86=H86),"yes",IF(G86="","",IF(G86&lt;&gt;H86,"NO","")))</f>
        <v/>
      </c>
      <c r="J86" s="13"/>
      <c r="K86" s="13"/>
    </row>
    <row r="87" customFormat="false" ht="15" hidden="false" customHeight="false" outlineLevel="0" collapsed="false">
      <c r="A87" s="12"/>
      <c r="B87" s="12"/>
      <c r="C87" s="12"/>
      <c r="D87" s="12"/>
      <c r="E87" s="12"/>
      <c r="F87" s="12"/>
      <c r="G87" s="13"/>
      <c r="H87" s="13"/>
      <c r="I87" s="7" t="str">
        <f aca="false">IF(AND(G87&lt;&gt;"",G87=H87),"yes",IF(G87="","",IF(G87&lt;&gt;H87,"NO","")))</f>
        <v/>
      </c>
      <c r="J87" s="13"/>
      <c r="K87" s="13"/>
    </row>
    <row r="88" customFormat="false" ht="15" hidden="false" customHeight="false" outlineLevel="0" collapsed="false">
      <c r="A88" s="12"/>
      <c r="B88" s="12"/>
      <c r="C88" s="12"/>
      <c r="D88" s="12"/>
      <c r="E88" s="12"/>
      <c r="F88" s="12"/>
      <c r="G88" s="13"/>
      <c r="H88" s="13"/>
      <c r="I88" s="7" t="str">
        <f aca="false">IF(AND(G88&lt;&gt;"",G88=H88),"yes",IF(G88="","",IF(G88&lt;&gt;H88,"NO","")))</f>
        <v/>
      </c>
      <c r="J88" s="13"/>
      <c r="K88" s="13"/>
    </row>
    <row r="89" customFormat="false" ht="15" hidden="false" customHeight="false" outlineLevel="0" collapsed="false">
      <c r="A89" s="12"/>
      <c r="B89" s="12"/>
      <c r="C89" s="12"/>
      <c r="D89" s="12"/>
      <c r="E89" s="12"/>
      <c r="F89" s="12"/>
      <c r="G89" s="13"/>
      <c r="H89" s="13"/>
      <c r="I89" s="7" t="str">
        <f aca="false">IF(AND(G89&lt;&gt;"",G89=H89),"yes",IF(G89="","",IF(G89&lt;&gt;H89,"NO","")))</f>
        <v/>
      </c>
      <c r="J89" s="13"/>
      <c r="K89" s="13"/>
    </row>
    <row r="90" customFormat="false" ht="15" hidden="false" customHeight="false" outlineLevel="0" collapsed="false">
      <c r="A90" s="12"/>
      <c r="B90" s="12"/>
      <c r="C90" s="12"/>
      <c r="D90" s="12"/>
      <c r="E90" s="12"/>
      <c r="F90" s="12"/>
      <c r="G90" s="13"/>
      <c r="H90" s="13"/>
      <c r="I90" s="7" t="str">
        <f aca="false">IF(AND(G90&lt;&gt;"",G90=H90),"yes",IF(G90="","",IF(G90&lt;&gt;H90,"NO","")))</f>
        <v/>
      </c>
      <c r="J90" s="13"/>
      <c r="K90" s="13"/>
    </row>
    <row r="91" customFormat="false" ht="15" hidden="false" customHeight="false" outlineLevel="0" collapsed="false">
      <c r="A91" s="12"/>
      <c r="B91" s="12"/>
      <c r="C91" s="12"/>
      <c r="D91" s="12"/>
      <c r="E91" s="12"/>
      <c r="F91" s="12"/>
      <c r="G91" s="13"/>
      <c r="H91" s="13"/>
      <c r="I91" s="7" t="str">
        <f aca="false">IF(AND(G91&lt;&gt;"",G91=H91),"yes",IF(G91="","",IF(G91&lt;&gt;H91,"NO","")))</f>
        <v/>
      </c>
      <c r="J91" s="13"/>
      <c r="K91" s="13"/>
    </row>
    <row r="92" customFormat="false" ht="15" hidden="false" customHeight="false" outlineLevel="0" collapsed="false">
      <c r="A92" s="12"/>
      <c r="B92" s="12"/>
      <c r="C92" s="12"/>
      <c r="D92" s="12"/>
      <c r="E92" s="12"/>
      <c r="F92" s="12"/>
      <c r="G92" s="13"/>
      <c r="H92" s="13"/>
      <c r="I92" s="7" t="str">
        <f aca="false">IF(AND(G92&lt;&gt;"",G92=H92),"yes",IF(G92="","",IF(G92&lt;&gt;H92,"NO","")))</f>
        <v/>
      </c>
      <c r="J92" s="13"/>
      <c r="K92" s="13"/>
    </row>
    <row r="93" customFormat="false" ht="15" hidden="false" customHeight="false" outlineLevel="0" collapsed="false">
      <c r="A93" s="12"/>
      <c r="B93" s="12"/>
      <c r="C93" s="12"/>
      <c r="D93" s="12"/>
      <c r="E93" s="12"/>
      <c r="F93" s="12"/>
      <c r="G93" s="13"/>
      <c r="H93" s="13"/>
      <c r="I93" s="7" t="str">
        <f aca="false">IF(AND(G93&lt;&gt;"",G93=H93),"yes",IF(G93="","",IF(G93&lt;&gt;H93,"NO","")))</f>
        <v/>
      </c>
      <c r="J93" s="13"/>
      <c r="K93" s="13"/>
    </row>
    <row r="94" customFormat="false" ht="15" hidden="false" customHeight="false" outlineLevel="0" collapsed="false">
      <c r="A94" s="12"/>
      <c r="B94" s="12"/>
      <c r="C94" s="12"/>
      <c r="D94" s="12"/>
      <c r="E94" s="12"/>
      <c r="F94" s="12"/>
      <c r="G94" s="13"/>
      <c r="H94" s="13"/>
      <c r="I94" s="7" t="str">
        <f aca="false">IF(AND(G94&lt;&gt;"",G94=H94),"yes",IF(G94="","",IF(G94&lt;&gt;H94,"NO","")))</f>
        <v/>
      </c>
      <c r="J94" s="13"/>
      <c r="K94" s="13"/>
    </row>
    <row r="95" customFormat="false" ht="15" hidden="false" customHeight="false" outlineLevel="0" collapsed="false">
      <c r="A95" s="12"/>
      <c r="B95" s="12"/>
      <c r="C95" s="12"/>
      <c r="D95" s="12"/>
      <c r="E95" s="12"/>
      <c r="F95" s="12"/>
      <c r="G95" s="13"/>
      <c r="H95" s="13"/>
      <c r="I95" s="7" t="str">
        <f aca="false">IF(AND(G95&lt;&gt;"",G95=H95),"yes",IF(G95="","",IF(G95&lt;&gt;H95,"NO","")))</f>
        <v/>
      </c>
      <c r="J95" s="13"/>
      <c r="K95" s="13"/>
    </row>
    <row r="96" customFormat="false" ht="15" hidden="false" customHeight="false" outlineLevel="0" collapsed="false">
      <c r="A96" s="12"/>
      <c r="B96" s="12"/>
      <c r="C96" s="12"/>
      <c r="D96" s="12"/>
      <c r="E96" s="12"/>
      <c r="F96" s="12"/>
      <c r="G96" s="13"/>
      <c r="H96" s="13"/>
      <c r="I96" s="7" t="str">
        <f aca="false">IF(AND(G96&lt;&gt;"",G96=H96),"yes",IF(G96="","",IF(G96&lt;&gt;H96,"NO","")))</f>
        <v/>
      </c>
      <c r="J96" s="13"/>
      <c r="K96" s="13"/>
    </row>
    <row r="97" customFormat="false" ht="15" hidden="false" customHeight="false" outlineLevel="0" collapsed="false">
      <c r="A97" s="12"/>
      <c r="B97" s="12"/>
      <c r="C97" s="12"/>
      <c r="D97" s="12"/>
      <c r="E97" s="12"/>
      <c r="F97" s="12"/>
      <c r="G97" s="13"/>
      <c r="H97" s="13"/>
      <c r="I97" s="7" t="str">
        <f aca="false">IF(AND(G97&lt;&gt;"",G97=H97),"yes",IF(G97="","",IF(G97&lt;&gt;H97,"NO","")))</f>
        <v/>
      </c>
      <c r="J97" s="13"/>
      <c r="K97" s="13"/>
    </row>
    <row r="98" customFormat="false" ht="15" hidden="false" customHeight="false" outlineLevel="0" collapsed="false">
      <c r="A98" s="12"/>
      <c r="B98" s="12"/>
      <c r="C98" s="12"/>
      <c r="D98" s="12"/>
      <c r="E98" s="12"/>
      <c r="F98" s="12"/>
      <c r="G98" s="13"/>
      <c r="H98" s="13"/>
      <c r="I98" s="7" t="str">
        <f aca="false">IF(AND(G98&lt;&gt;"",G98=H98),"yes",IF(G98="","",IF(G98&lt;&gt;H98,"NO","")))</f>
        <v/>
      </c>
      <c r="J98" s="13"/>
      <c r="K98" s="13"/>
    </row>
    <row r="99" customFormat="false" ht="15" hidden="false" customHeight="false" outlineLevel="0" collapsed="false">
      <c r="A99" s="12"/>
      <c r="B99" s="12"/>
      <c r="C99" s="12"/>
      <c r="D99" s="12"/>
      <c r="E99" s="12"/>
      <c r="F99" s="12"/>
      <c r="G99" s="13"/>
      <c r="H99" s="13"/>
      <c r="I99" s="7" t="str">
        <f aca="false">IF(AND(G99&lt;&gt;"",G99=H99),"yes",IF(G99="","",IF(G99&lt;&gt;H99,"NO","")))</f>
        <v/>
      </c>
      <c r="J99" s="13"/>
      <c r="K99" s="13"/>
    </row>
    <row r="100" customFormat="false" ht="15" hidden="false" customHeight="false" outlineLevel="0" collapsed="false">
      <c r="A100" s="12"/>
      <c r="B100" s="12"/>
      <c r="C100" s="12"/>
      <c r="D100" s="12"/>
      <c r="E100" s="12"/>
      <c r="F100" s="12"/>
      <c r="G100" s="13"/>
      <c r="H100" s="13"/>
      <c r="I100" s="7" t="str">
        <f aca="false">IF(AND(G100&lt;&gt;"",G100=H100),"yes",IF(G100="","",IF(G100&lt;&gt;H100,"NO","")))</f>
        <v/>
      </c>
      <c r="J100" s="13"/>
      <c r="K100" s="13"/>
    </row>
    <row r="101" customFormat="false" ht="15" hidden="false" customHeight="false" outlineLevel="0" collapsed="false">
      <c r="A101" s="12"/>
      <c r="B101" s="12"/>
      <c r="C101" s="12"/>
      <c r="D101" s="12"/>
      <c r="E101" s="12"/>
      <c r="F101" s="12"/>
      <c r="G101" s="13"/>
      <c r="H101" s="13"/>
      <c r="I101" s="7" t="str">
        <f aca="false">IF(AND(G101&lt;&gt;"",G101=H101),"yes",IF(G101="","",IF(G101&lt;&gt;H101,"NO","")))</f>
        <v/>
      </c>
      <c r="J101" s="13"/>
      <c r="K101" s="13"/>
    </row>
    <row r="102" customFormat="false" ht="15" hidden="false" customHeight="false" outlineLevel="0" collapsed="false">
      <c r="A102" s="12"/>
      <c r="B102" s="12"/>
      <c r="C102" s="12"/>
      <c r="D102" s="12"/>
      <c r="E102" s="12"/>
      <c r="F102" s="12"/>
      <c r="G102" s="13"/>
      <c r="H102" s="13"/>
      <c r="I102" s="7" t="str">
        <f aca="false">IF(AND(G102&lt;&gt;"",G102=H102),"yes",IF(G102="","",IF(G102&lt;&gt;H102,"NO","")))</f>
        <v/>
      </c>
      <c r="J102" s="13"/>
      <c r="K102" s="13"/>
    </row>
    <row r="103" customFormat="false" ht="15" hidden="false" customHeight="false" outlineLevel="0" collapsed="false">
      <c r="A103" s="12"/>
      <c r="B103" s="12"/>
      <c r="C103" s="12"/>
      <c r="D103" s="12"/>
      <c r="E103" s="12"/>
      <c r="F103" s="12"/>
      <c r="G103" s="13"/>
      <c r="H103" s="13"/>
      <c r="I103" s="7" t="str">
        <f aca="false">IF(AND(G103&lt;&gt;"",G103=H103),"yes",IF(G103="","",IF(G103&lt;&gt;H103,"NO","")))</f>
        <v/>
      </c>
      <c r="J103" s="13"/>
      <c r="K103" s="13"/>
    </row>
    <row r="104" customFormat="false" ht="15" hidden="false" customHeight="false" outlineLevel="0" collapsed="false">
      <c r="A104" s="12"/>
      <c r="B104" s="12"/>
      <c r="C104" s="12"/>
      <c r="D104" s="12"/>
      <c r="E104" s="12"/>
      <c r="F104" s="12"/>
      <c r="G104" s="13"/>
      <c r="H104" s="13"/>
      <c r="I104" s="7" t="str">
        <f aca="false">IF(AND(G104&lt;&gt;"",G104=H104),"yes",IF(G104="","",IF(G104&lt;&gt;H104,"NO","")))</f>
        <v/>
      </c>
      <c r="J104" s="13"/>
      <c r="K104" s="13"/>
    </row>
    <row r="105" customFormat="false" ht="15" hidden="false" customHeight="false" outlineLevel="0" collapsed="false">
      <c r="A105" s="12"/>
      <c r="B105" s="12"/>
      <c r="C105" s="12"/>
      <c r="D105" s="12"/>
      <c r="E105" s="12"/>
      <c r="F105" s="12"/>
      <c r="G105" s="13"/>
      <c r="H105" s="13"/>
      <c r="I105" s="7" t="str">
        <f aca="false">IF(AND(G105&lt;&gt;"",G105=H105),"yes",IF(G105="","",IF(G105&lt;&gt;H105,"NO","")))</f>
        <v/>
      </c>
      <c r="J105" s="13"/>
      <c r="K105" s="13"/>
    </row>
    <row r="106" customFormat="false" ht="15" hidden="false" customHeight="false" outlineLevel="0" collapsed="false">
      <c r="A106" s="12"/>
      <c r="B106" s="12"/>
      <c r="C106" s="12"/>
      <c r="D106" s="12"/>
      <c r="E106" s="12"/>
      <c r="F106" s="12"/>
      <c r="G106" s="13"/>
      <c r="H106" s="13"/>
      <c r="I106" s="7" t="str">
        <f aca="false">IF(AND(G106&lt;&gt;"",G106=H106),"yes",IF(G106="","",IF(G106&lt;&gt;H106,"NO","")))</f>
        <v/>
      </c>
      <c r="J106" s="13"/>
      <c r="K106" s="13"/>
    </row>
    <row r="107" customFormat="false" ht="15" hidden="false" customHeight="false" outlineLevel="0" collapsed="false">
      <c r="A107" s="12"/>
      <c r="B107" s="12"/>
      <c r="C107" s="12"/>
      <c r="D107" s="12"/>
      <c r="E107" s="12"/>
      <c r="F107" s="12"/>
      <c r="G107" s="13"/>
      <c r="H107" s="13"/>
      <c r="I107" s="7" t="str">
        <f aca="false">IF(AND(G107&lt;&gt;"",G107=H107),"yes",IF(G107="","",IF(G107&lt;&gt;H107,"NO","")))</f>
        <v/>
      </c>
      <c r="J107" s="13"/>
      <c r="K107" s="13"/>
    </row>
    <row r="108" customFormat="false" ht="15" hidden="false" customHeight="false" outlineLevel="0" collapsed="false">
      <c r="A108" s="12"/>
      <c r="B108" s="12"/>
      <c r="C108" s="12"/>
      <c r="D108" s="12"/>
      <c r="E108" s="12"/>
      <c r="F108" s="12"/>
      <c r="G108" s="13"/>
      <c r="H108" s="13"/>
      <c r="I108" s="7" t="str">
        <f aca="false">IF(AND(G108&lt;&gt;"",G108=H108),"yes",IF(G108="","",IF(G108&lt;&gt;H108,"NO","")))</f>
        <v/>
      </c>
      <c r="J108" s="13"/>
      <c r="K108" s="13"/>
    </row>
    <row r="109" customFormat="false" ht="15" hidden="false" customHeight="false" outlineLevel="0" collapsed="false">
      <c r="A109" s="12"/>
      <c r="B109" s="12"/>
      <c r="C109" s="12"/>
      <c r="D109" s="12"/>
      <c r="E109" s="12"/>
      <c r="F109" s="12"/>
      <c r="G109" s="13"/>
      <c r="H109" s="13"/>
      <c r="I109" s="7" t="str">
        <f aca="false">IF(AND(G109&lt;&gt;"",G109=H109),"yes",IF(G109="","",IF(G109&lt;&gt;H109,"NO","")))</f>
        <v/>
      </c>
      <c r="J109" s="13"/>
      <c r="K109" s="13"/>
    </row>
    <row r="110" customFormat="false" ht="15" hidden="false" customHeight="false" outlineLevel="0" collapsed="false">
      <c r="A110" s="12"/>
      <c r="B110" s="12"/>
      <c r="C110" s="12"/>
      <c r="D110" s="12"/>
      <c r="E110" s="12"/>
      <c r="F110" s="12"/>
      <c r="G110" s="13"/>
      <c r="H110" s="13"/>
      <c r="I110" s="7" t="str">
        <f aca="false">IF(AND(G110&lt;&gt;"",G110=H110),"yes",IF(G110="","",IF(G110&lt;&gt;H110,"NO","")))</f>
        <v/>
      </c>
      <c r="J110" s="13"/>
      <c r="K110" s="13"/>
    </row>
    <row r="111" customFormat="false" ht="15" hidden="false" customHeight="false" outlineLevel="0" collapsed="false">
      <c r="A111" s="12"/>
      <c r="B111" s="12"/>
      <c r="C111" s="12"/>
      <c r="D111" s="12"/>
      <c r="E111" s="12"/>
      <c r="F111" s="12"/>
      <c r="G111" s="13"/>
      <c r="H111" s="13"/>
      <c r="I111" s="7" t="str">
        <f aca="false">IF(AND(G111&lt;&gt;"",G111=H111),"yes",IF(G111="","",IF(G111&lt;&gt;H111,"NO","")))</f>
        <v/>
      </c>
      <c r="J111" s="13"/>
      <c r="K111" s="13"/>
    </row>
    <row r="112" customFormat="false" ht="15" hidden="false" customHeight="false" outlineLevel="0" collapsed="false">
      <c r="A112" s="12"/>
      <c r="B112" s="12"/>
      <c r="C112" s="12"/>
      <c r="D112" s="12"/>
      <c r="E112" s="12"/>
      <c r="F112" s="12"/>
      <c r="G112" s="13"/>
      <c r="H112" s="13"/>
      <c r="I112" s="7" t="str">
        <f aca="false">IF(AND(G112&lt;&gt;"",G112=H112),"yes",IF(G112="","",IF(G112&lt;&gt;H112,"NO","")))</f>
        <v/>
      </c>
      <c r="J112" s="13"/>
      <c r="K112" s="13"/>
    </row>
    <row r="113" customFormat="false" ht="15" hidden="false" customHeight="false" outlineLevel="0" collapsed="false">
      <c r="A113" s="12"/>
      <c r="B113" s="12"/>
      <c r="C113" s="12"/>
      <c r="D113" s="12"/>
      <c r="E113" s="12"/>
      <c r="F113" s="12"/>
      <c r="G113" s="13"/>
      <c r="H113" s="13"/>
      <c r="I113" s="7" t="str">
        <f aca="false">IF(AND(G113&lt;&gt;"",G113=H113),"yes",IF(G113="","",IF(G113&lt;&gt;H113,"NO","")))</f>
        <v/>
      </c>
      <c r="J113" s="13"/>
      <c r="K113" s="13"/>
    </row>
    <row r="114" customFormat="false" ht="15" hidden="false" customHeight="false" outlineLevel="0" collapsed="false">
      <c r="A114" s="12"/>
      <c r="B114" s="12"/>
      <c r="C114" s="12"/>
      <c r="D114" s="12"/>
      <c r="E114" s="12"/>
      <c r="F114" s="12"/>
      <c r="G114" s="13"/>
      <c r="H114" s="13"/>
      <c r="I114" s="7" t="str">
        <f aca="false">IF(AND(G114&lt;&gt;"",G114=H114),"yes",IF(G114="","",IF(G114&lt;&gt;H114,"NO","")))</f>
        <v/>
      </c>
      <c r="J114" s="13"/>
      <c r="K114" s="13"/>
    </row>
    <row r="115" customFormat="false" ht="15" hidden="false" customHeight="false" outlineLevel="0" collapsed="false">
      <c r="A115" s="12"/>
      <c r="B115" s="12"/>
      <c r="C115" s="12"/>
      <c r="D115" s="12"/>
      <c r="E115" s="12"/>
      <c r="F115" s="12"/>
      <c r="G115" s="13"/>
      <c r="H115" s="13"/>
      <c r="I115" s="7" t="str">
        <f aca="false">IF(AND(G115&lt;&gt;"",G115=H115),"yes",IF(G115="","",IF(G115&lt;&gt;H115,"NO","")))</f>
        <v/>
      </c>
      <c r="J115" s="13"/>
      <c r="K115" s="13"/>
    </row>
    <row r="116" customFormat="false" ht="15" hidden="false" customHeight="false" outlineLevel="0" collapsed="false">
      <c r="A116" s="12"/>
      <c r="B116" s="12"/>
      <c r="C116" s="12"/>
      <c r="D116" s="12"/>
      <c r="E116" s="12"/>
      <c r="F116" s="12"/>
      <c r="G116" s="13"/>
      <c r="H116" s="13"/>
      <c r="I116" s="7" t="str">
        <f aca="false">IF(AND(G116&lt;&gt;"",G116=H116),"yes",IF(G116="","",IF(G116&lt;&gt;H116,"NO","")))</f>
        <v/>
      </c>
      <c r="J116" s="13"/>
      <c r="K116" s="13"/>
    </row>
    <row r="117" customFormat="false" ht="15" hidden="false" customHeight="false" outlineLevel="0" collapsed="false">
      <c r="A117" s="12"/>
      <c r="B117" s="12"/>
      <c r="C117" s="12"/>
      <c r="D117" s="12"/>
      <c r="E117" s="12"/>
      <c r="F117" s="12"/>
      <c r="G117" s="13"/>
      <c r="H117" s="13"/>
      <c r="I117" s="7" t="str">
        <f aca="false">IF(AND(G117&lt;&gt;"",G117=H117),"yes",IF(G117="","",IF(G117&lt;&gt;H117,"NO","")))</f>
        <v/>
      </c>
      <c r="J117" s="13"/>
      <c r="K117" s="13"/>
    </row>
    <row r="118" customFormat="false" ht="15" hidden="false" customHeight="false" outlineLevel="0" collapsed="false">
      <c r="A118" s="12"/>
      <c r="B118" s="12"/>
      <c r="C118" s="12"/>
      <c r="D118" s="12"/>
      <c r="E118" s="12"/>
      <c r="F118" s="12"/>
      <c r="G118" s="13"/>
      <c r="H118" s="13"/>
      <c r="I118" s="7" t="str">
        <f aca="false">IF(AND(G118&lt;&gt;"",G118=H118),"yes",IF(G118="","",IF(G118&lt;&gt;H118,"NO","")))</f>
        <v/>
      </c>
      <c r="J118" s="13"/>
      <c r="K118" s="13"/>
    </row>
    <row r="119" customFormat="false" ht="15" hidden="false" customHeight="false" outlineLevel="0" collapsed="false">
      <c r="A119" s="12"/>
      <c r="B119" s="12"/>
      <c r="C119" s="12"/>
      <c r="D119" s="12"/>
      <c r="E119" s="12"/>
      <c r="F119" s="12"/>
      <c r="G119" s="13"/>
      <c r="H119" s="13"/>
      <c r="I119" s="7" t="str">
        <f aca="false">IF(AND(G119&lt;&gt;"",G119=H119),"yes",IF(G119="","",IF(G119&lt;&gt;H119,"NO","")))</f>
        <v/>
      </c>
      <c r="J119" s="13"/>
      <c r="K119" s="13"/>
    </row>
    <row r="120" customFormat="false" ht="15" hidden="false" customHeight="false" outlineLevel="0" collapsed="false">
      <c r="A120" s="12"/>
      <c r="B120" s="12"/>
      <c r="C120" s="12"/>
      <c r="D120" s="12"/>
      <c r="E120" s="12"/>
      <c r="F120" s="12"/>
      <c r="G120" s="13"/>
      <c r="H120" s="13"/>
      <c r="I120" s="7" t="str">
        <f aca="false">IF(AND(G120&lt;&gt;"",G120=H120),"yes",IF(G120="","",IF(G120&lt;&gt;H120,"NO","")))</f>
        <v/>
      </c>
      <c r="J120" s="13"/>
      <c r="K120" s="13"/>
    </row>
    <row r="121" customFormat="false" ht="15" hidden="false" customHeight="false" outlineLevel="0" collapsed="false">
      <c r="A121" s="12"/>
      <c r="B121" s="12"/>
      <c r="C121" s="12"/>
      <c r="D121" s="12"/>
      <c r="E121" s="12"/>
      <c r="F121" s="12"/>
      <c r="G121" s="13"/>
      <c r="H121" s="13"/>
      <c r="I121" s="7" t="str">
        <f aca="false">IF(AND(G121&lt;&gt;"",G121=H121),"yes",IF(G121="","",IF(G121&lt;&gt;H121,"NO","")))</f>
        <v/>
      </c>
      <c r="J121" s="13"/>
      <c r="K121" s="13"/>
    </row>
    <row r="122" customFormat="false" ht="15" hidden="false" customHeight="false" outlineLevel="0" collapsed="false">
      <c r="A122" s="12"/>
      <c r="B122" s="12"/>
      <c r="C122" s="12"/>
      <c r="D122" s="12"/>
      <c r="E122" s="12"/>
      <c r="F122" s="12"/>
      <c r="G122" s="13"/>
      <c r="H122" s="13"/>
      <c r="I122" s="7" t="str">
        <f aca="false">IF(AND(G122&lt;&gt;"",G122=H122),"yes",IF(G122="","",IF(G122&lt;&gt;H122,"NO","")))</f>
        <v/>
      </c>
      <c r="J122" s="13"/>
      <c r="K122" s="13"/>
    </row>
    <row r="123" customFormat="false" ht="15" hidden="false" customHeight="false" outlineLevel="0" collapsed="false">
      <c r="A123" s="12"/>
      <c r="B123" s="12"/>
      <c r="C123" s="12"/>
      <c r="D123" s="12"/>
      <c r="E123" s="12"/>
      <c r="F123" s="12"/>
      <c r="G123" s="13"/>
      <c r="H123" s="13"/>
      <c r="I123" s="7" t="str">
        <f aca="false">IF(AND(G123&lt;&gt;"",G123=H123),"yes",IF(G123="","",IF(G123&lt;&gt;H123,"NO","")))</f>
        <v/>
      </c>
      <c r="J123" s="13"/>
      <c r="K123" s="13"/>
    </row>
    <row r="124" customFormat="false" ht="15" hidden="false" customHeight="false" outlineLevel="0" collapsed="false">
      <c r="A124" s="12"/>
      <c r="B124" s="12"/>
      <c r="C124" s="12"/>
      <c r="D124" s="12"/>
      <c r="E124" s="12"/>
      <c r="F124" s="12"/>
      <c r="G124" s="13"/>
      <c r="H124" s="13"/>
      <c r="I124" s="7" t="str">
        <f aca="false">IF(AND(G124&lt;&gt;"",G124=H124),"yes",IF(G124="","",IF(G124&lt;&gt;H124,"NO","")))</f>
        <v/>
      </c>
      <c r="J124" s="13"/>
      <c r="K124" s="13"/>
    </row>
    <row r="125" customFormat="false" ht="15" hidden="false" customHeight="false" outlineLevel="0" collapsed="false">
      <c r="A125" s="12"/>
      <c r="B125" s="12"/>
      <c r="C125" s="12"/>
      <c r="D125" s="12"/>
      <c r="E125" s="12"/>
      <c r="F125" s="12"/>
      <c r="G125" s="13"/>
      <c r="H125" s="13"/>
      <c r="I125" s="7" t="str">
        <f aca="false">IF(AND(G125&lt;&gt;"",G125=H125),"yes",IF(G125="","",IF(G125&lt;&gt;H125,"NO","")))</f>
        <v/>
      </c>
      <c r="J125" s="13"/>
      <c r="K125" s="13"/>
    </row>
    <row r="126" customFormat="false" ht="15" hidden="false" customHeight="false" outlineLevel="0" collapsed="false">
      <c r="A126" s="12"/>
      <c r="B126" s="12"/>
      <c r="C126" s="12"/>
      <c r="D126" s="12"/>
      <c r="E126" s="12"/>
      <c r="F126" s="12"/>
      <c r="G126" s="13"/>
      <c r="H126" s="13"/>
      <c r="I126" s="7" t="str">
        <f aca="false">IF(AND(G126&lt;&gt;"",G126=H126),"yes",IF(G126="","",IF(G126&lt;&gt;H126,"NO","")))</f>
        <v/>
      </c>
      <c r="J126" s="13"/>
      <c r="K126" s="13"/>
    </row>
    <row r="127" customFormat="false" ht="15" hidden="false" customHeight="false" outlineLevel="0" collapsed="false">
      <c r="A127" s="12"/>
      <c r="B127" s="12"/>
      <c r="C127" s="12"/>
      <c r="D127" s="12"/>
      <c r="E127" s="12"/>
      <c r="F127" s="12"/>
      <c r="G127" s="13"/>
      <c r="H127" s="13"/>
      <c r="I127" s="7" t="str">
        <f aca="false">IF(AND(G127&lt;&gt;"",G127=H127),"yes",IF(G127="","",IF(G127&lt;&gt;H127,"NO","")))</f>
        <v/>
      </c>
      <c r="J127" s="13"/>
      <c r="K127" s="13"/>
    </row>
    <row r="128" customFormat="false" ht="15" hidden="false" customHeight="false" outlineLevel="0" collapsed="false">
      <c r="A128" s="12"/>
      <c r="B128" s="12"/>
      <c r="C128" s="12"/>
      <c r="D128" s="12"/>
      <c r="E128" s="12"/>
      <c r="F128" s="12"/>
      <c r="G128" s="13"/>
      <c r="H128" s="13"/>
      <c r="I128" s="7" t="str">
        <f aca="false">IF(AND(G128&lt;&gt;"",G128=H128),"yes",IF(G128="","",IF(G128&lt;&gt;H128,"NO","")))</f>
        <v/>
      </c>
      <c r="J128" s="13"/>
      <c r="K128" s="13"/>
    </row>
    <row r="129" customFormat="false" ht="15" hidden="false" customHeight="false" outlineLevel="0" collapsed="false">
      <c r="A129" s="12"/>
      <c r="B129" s="12"/>
      <c r="C129" s="12"/>
      <c r="D129" s="12"/>
      <c r="E129" s="12"/>
      <c r="F129" s="12"/>
      <c r="G129" s="13"/>
      <c r="H129" s="13"/>
      <c r="I129" s="7" t="str">
        <f aca="false">IF(AND(G129&lt;&gt;"",G129=H129),"yes",IF(G129="","",IF(G129&lt;&gt;H129,"NO","")))</f>
        <v/>
      </c>
      <c r="J129" s="13"/>
      <c r="K129" s="13"/>
    </row>
    <row r="130" customFormat="false" ht="15" hidden="false" customHeight="false" outlineLevel="0" collapsed="false">
      <c r="A130" s="12"/>
      <c r="B130" s="12"/>
      <c r="C130" s="12"/>
      <c r="D130" s="12"/>
      <c r="E130" s="12"/>
      <c r="F130" s="12"/>
      <c r="G130" s="13"/>
      <c r="H130" s="13"/>
      <c r="I130" s="7" t="str">
        <f aca="false">IF(AND(G130&lt;&gt;"",G130=H130),"yes",IF(G130="","",IF(G130&lt;&gt;H130,"NO","")))</f>
        <v/>
      </c>
      <c r="J130" s="13"/>
      <c r="K130" s="13"/>
    </row>
    <row r="131" customFormat="false" ht="15" hidden="false" customHeight="false" outlineLevel="0" collapsed="false">
      <c r="A131" s="12"/>
      <c r="B131" s="12"/>
      <c r="C131" s="12"/>
      <c r="D131" s="12"/>
      <c r="E131" s="12"/>
      <c r="F131" s="12"/>
      <c r="G131" s="13"/>
      <c r="H131" s="13"/>
      <c r="I131" s="7" t="str">
        <f aca="false">IF(AND(G131&lt;&gt;"",G131=H131),"yes",IF(G131="","",IF(G131&lt;&gt;H131,"NO","")))</f>
        <v/>
      </c>
      <c r="J131" s="13"/>
      <c r="K131" s="13"/>
    </row>
    <row r="132" customFormat="false" ht="15" hidden="false" customHeight="false" outlineLevel="0" collapsed="false">
      <c r="A132" s="12"/>
      <c r="B132" s="12"/>
      <c r="C132" s="12"/>
      <c r="D132" s="12"/>
      <c r="E132" s="12"/>
      <c r="F132" s="12"/>
      <c r="G132" s="13"/>
      <c r="H132" s="13"/>
      <c r="I132" s="7" t="str">
        <f aca="false">IF(AND(G132&lt;&gt;"",G132=H132),"yes",IF(G132="","",IF(G132&lt;&gt;H132,"NO","")))</f>
        <v/>
      </c>
      <c r="J132" s="13"/>
      <c r="K132" s="13"/>
    </row>
    <row r="133" customFormat="false" ht="15" hidden="false" customHeight="false" outlineLevel="0" collapsed="false">
      <c r="A133" s="12"/>
      <c r="B133" s="12"/>
      <c r="C133" s="12"/>
      <c r="D133" s="12"/>
      <c r="E133" s="12"/>
      <c r="F133" s="12"/>
      <c r="G133" s="13"/>
      <c r="H133" s="13"/>
      <c r="I133" s="7" t="str">
        <f aca="false">IF(AND(G133&lt;&gt;"",G133=H133),"yes",IF(G133="","",IF(G133&lt;&gt;H133,"NO","")))</f>
        <v/>
      </c>
      <c r="J133" s="13"/>
      <c r="K133" s="13"/>
    </row>
    <row r="134" customFormat="false" ht="15" hidden="false" customHeight="false" outlineLevel="0" collapsed="false">
      <c r="A134" s="12"/>
      <c r="B134" s="12"/>
      <c r="C134" s="12"/>
      <c r="D134" s="12"/>
      <c r="E134" s="12"/>
      <c r="F134" s="12"/>
      <c r="G134" s="13"/>
      <c r="H134" s="13"/>
      <c r="I134" s="7" t="str">
        <f aca="false">IF(AND(G134&lt;&gt;"",G134=H134),"yes",IF(G134="","",IF(G134&lt;&gt;H134,"NO","")))</f>
        <v/>
      </c>
      <c r="J134" s="13"/>
      <c r="K134" s="13"/>
    </row>
    <row r="135" customFormat="false" ht="15" hidden="false" customHeight="false" outlineLevel="0" collapsed="false">
      <c r="A135" s="12"/>
      <c r="B135" s="12"/>
      <c r="C135" s="12"/>
      <c r="D135" s="12"/>
      <c r="E135" s="12"/>
      <c r="F135" s="12"/>
      <c r="G135" s="13"/>
      <c r="H135" s="13"/>
      <c r="I135" s="7" t="str">
        <f aca="false">IF(AND(G135&lt;&gt;"",G135=H135),"yes",IF(G135="","",IF(G135&lt;&gt;H135,"NO","")))</f>
        <v/>
      </c>
      <c r="J135" s="13"/>
      <c r="K135" s="13"/>
    </row>
    <row r="136" customFormat="false" ht="15" hidden="false" customHeight="false" outlineLevel="0" collapsed="false">
      <c r="A136" s="12"/>
      <c r="B136" s="12"/>
      <c r="C136" s="12"/>
      <c r="D136" s="12"/>
      <c r="E136" s="12"/>
      <c r="F136" s="12"/>
      <c r="G136" s="13"/>
      <c r="H136" s="13"/>
      <c r="I136" s="7" t="str">
        <f aca="false">IF(AND(G136&lt;&gt;"",G136=H136),"yes",IF(G136="","",IF(G136&lt;&gt;H136,"NO","")))</f>
        <v/>
      </c>
      <c r="J136" s="13"/>
      <c r="K136" s="13"/>
    </row>
    <row r="137" customFormat="false" ht="15" hidden="false" customHeight="false" outlineLevel="0" collapsed="false">
      <c r="A137" s="12"/>
      <c r="B137" s="12"/>
      <c r="C137" s="12"/>
      <c r="D137" s="12"/>
      <c r="E137" s="12"/>
      <c r="F137" s="12"/>
      <c r="G137" s="13"/>
      <c r="H137" s="13"/>
      <c r="I137" s="7" t="str">
        <f aca="false">IF(AND(G137&lt;&gt;"",G137=H137),"yes",IF(G137="","",IF(G137&lt;&gt;H137,"NO","")))</f>
        <v/>
      </c>
      <c r="J137" s="13"/>
      <c r="K137" s="13"/>
    </row>
    <row r="138" customFormat="false" ht="15" hidden="false" customHeight="false" outlineLevel="0" collapsed="false">
      <c r="A138" s="12"/>
      <c r="B138" s="12"/>
      <c r="C138" s="12"/>
      <c r="D138" s="12"/>
      <c r="E138" s="12"/>
      <c r="F138" s="12"/>
      <c r="G138" s="13"/>
      <c r="H138" s="13"/>
      <c r="I138" s="7" t="str">
        <f aca="false">IF(AND(G138&lt;&gt;"",G138=H138),"yes",IF(G138="","",IF(G138&lt;&gt;H138,"NO","")))</f>
        <v/>
      </c>
      <c r="J138" s="13"/>
      <c r="K138" s="13"/>
    </row>
    <row r="139" customFormat="false" ht="15" hidden="false" customHeight="false" outlineLevel="0" collapsed="false">
      <c r="A139" s="12"/>
      <c r="B139" s="12"/>
      <c r="C139" s="12"/>
      <c r="D139" s="12"/>
      <c r="E139" s="12"/>
      <c r="F139" s="12"/>
      <c r="G139" s="13"/>
      <c r="H139" s="13"/>
      <c r="I139" s="7" t="str">
        <f aca="false">IF(AND(G139&lt;&gt;"",G139=H139),"yes",IF(G139="","",IF(G139&lt;&gt;H139,"NO","")))</f>
        <v/>
      </c>
      <c r="J139" s="13"/>
      <c r="K139" s="13"/>
    </row>
    <row r="140" customFormat="false" ht="15" hidden="false" customHeight="false" outlineLevel="0" collapsed="false">
      <c r="A140" s="12"/>
      <c r="B140" s="12"/>
      <c r="C140" s="12"/>
      <c r="D140" s="12"/>
      <c r="E140" s="12"/>
      <c r="F140" s="12"/>
      <c r="G140" s="13"/>
      <c r="H140" s="13"/>
      <c r="I140" s="7" t="str">
        <f aca="false">IF(AND(G140&lt;&gt;"",G140=H140),"yes",IF(G140="","",IF(G140&lt;&gt;H140,"NO","")))</f>
        <v/>
      </c>
      <c r="J140" s="13"/>
      <c r="K140" s="13"/>
    </row>
    <row r="141" customFormat="false" ht="15" hidden="false" customHeight="false" outlineLevel="0" collapsed="false">
      <c r="A141" s="12"/>
      <c r="B141" s="12"/>
      <c r="C141" s="12"/>
      <c r="D141" s="12"/>
      <c r="E141" s="12"/>
      <c r="F141" s="12"/>
      <c r="G141" s="13"/>
      <c r="H141" s="13"/>
      <c r="I141" s="7" t="str">
        <f aca="false">IF(AND(G141&lt;&gt;"",G141=H141),"yes",IF(G141="","",IF(G141&lt;&gt;H141,"NO","")))</f>
        <v/>
      </c>
      <c r="J141" s="13"/>
      <c r="K141" s="13"/>
    </row>
    <row r="142" customFormat="false" ht="15" hidden="false" customHeight="false" outlineLevel="0" collapsed="false">
      <c r="A142" s="12"/>
      <c r="B142" s="12"/>
      <c r="C142" s="12"/>
      <c r="D142" s="12"/>
      <c r="E142" s="12"/>
      <c r="F142" s="12"/>
      <c r="G142" s="13"/>
      <c r="H142" s="13"/>
      <c r="I142" s="7" t="str">
        <f aca="false">IF(AND(G142&lt;&gt;"",G142=H142),"yes",IF(G142="","",IF(G142&lt;&gt;H142,"NO","")))</f>
        <v/>
      </c>
      <c r="J142" s="13"/>
      <c r="K142" s="13"/>
    </row>
    <row r="143" customFormat="false" ht="15" hidden="false" customHeight="false" outlineLevel="0" collapsed="false">
      <c r="A143" s="12"/>
      <c r="B143" s="12"/>
      <c r="C143" s="12"/>
      <c r="D143" s="12"/>
      <c r="E143" s="12"/>
      <c r="F143" s="12"/>
      <c r="G143" s="13"/>
      <c r="H143" s="13"/>
      <c r="I143" s="7" t="str">
        <f aca="false">IF(AND(G143&lt;&gt;"",G143=H143),"yes",IF(G143="","",IF(G143&lt;&gt;H143,"NO","")))</f>
        <v/>
      </c>
      <c r="J143" s="13"/>
      <c r="K143" s="13"/>
    </row>
    <row r="144" customFormat="false" ht="15" hidden="false" customHeight="false" outlineLevel="0" collapsed="false">
      <c r="A144" s="12"/>
      <c r="B144" s="12"/>
      <c r="C144" s="12"/>
      <c r="D144" s="12"/>
      <c r="E144" s="12"/>
      <c r="F144" s="12"/>
      <c r="G144" s="13"/>
      <c r="H144" s="13"/>
      <c r="I144" s="7" t="str">
        <f aca="false">IF(AND(G144&lt;&gt;"",G144=H144),"yes",IF(G144="","",IF(G144&lt;&gt;H144,"NO","")))</f>
        <v/>
      </c>
      <c r="J144" s="13"/>
      <c r="K144" s="13"/>
    </row>
    <row r="145" customFormat="false" ht="15" hidden="false" customHeight="false" outlineLevel="0" collapsed="false">
      <c r="A145" s="12"/>
      <c r="B145" s="12"/>
      <c r="C145" s="12"/>
      <c r="D145" s="12"/>
      <c r="E145" s="12"/>
      <c r="F145" s="12"/>
      <c r="G145" s="13"/>
      <c r="H145" s="13"/>
      <c r="I145" s="7" t="str">
        <f aca="false">IF(AND(G145&lt;&gt;"",G145=H145),"yes",IF(G145="","",IF(G145&lt;&gt;H145,"NO","")))</f>
        <v/>
      </c>
      <c r="J145" s="13"/>
      <c r="K145" s="13"/>
    </row>
    <row r="146" customFormat="false" ht="15" hidden="false" customHeight="false" outlineLevel="0" collapsed="false">
      <c r="A146" s="12"/>
      <c r="B146" s="12"/>
      <c r="C146" s="12"/>
      <c r="D146" s="12"/>
      <c r="E146" s="12"/>
      <c r="F146" s="12"/>
      <c r="G146" s="13"/>
      <c r="H146" s="13"/>
      <c r="I146" s="7" t="str">
        <f aca="false">IF(AND(G146&lt;&gt;"",G146=H146),"yes",IF(G146="","",IF(G146&lt;&gt;H146,"NO","")))</f>
        <v/>
      </c>
      <c r="J146" s="13"/>
      <c r="K146" s="13"/>
    </row>
    <row r="147" customFormat="false" ht="15" hidden="false" customHeight="false" outlineLevel="0" collapsed="false">
      <c r="A147" s="12"/>
      <c r="B147" s="12"/>
      <c r="C147" s="12"/>
      <c r="D147" s="12"/>
      <c r="E147" s="12"/>
      <c r="F147" s="12"/>
      <c r="G147" s="13"/>
      <c r="H147" s="13"/>
      <c r="I147" s="7" t="str">
        <f aca="false">IF(AND(G147&lt;&gt;"",G147=H147),"yes",IF(G147="","",IF(G147&lt;&gt;H147,"NO","")))</f>
        <v/>
      </c>
      <c r="J147" s="13"/>
      <c r="K147" s="13"/>
    </row>
    <row r="148" customFormat="false" ht="15" hidden="false" customHeight="false" outlineLevel="0" collapsed="false">
      <c r="A148" s="12"/>
      <c r="B148" s="12"/>
      <c r="C148" s="12"/>
      <c r="D148" s="12"/>
      <c r="E148" s="12"/>
      <c r="F148" s="12"/>
      <c r="G148" s="13"/>
      <c r="H148" s="13"/>
      <c r="I148" s="7" t="str">
        <f aca="false">IF(AND(G148&lt;&gt;"",G148=H148),"yes",IF(G148="","",IF(G148&lt;&gt;H148,"NO","")))</f>
        <v/>
      </c>
      <c r="J148" s="13"/>
      <c r="K148" s="13"/>
    </row>
    <row r="149" customFormat="false" ht="15" hidden="false" customHeight="false" outlineLevel="0" collapsed="false">
      <c r="A149" s="12"/>
      <c r="B149" s="12"/>
      <c r="C149" s="12"/>
      <c r="D149" s="12"/>
      <c r="E149" s="12"/>
      <c r="F149" s="12"/>
      <c r="G149" s="13"/>
      <c r="H149" s="13"/>
      <c r="I149" s="7" t="str">
        <f aca="false">IF(AND(G149&lt;&gt;"",G149=H149),"yes",IF(G149="","",IF(G149&lt;&gt;H149,"NO","")))</f>
        <v/>
      </c>
      <c r="J149" s="13"/>
      <c r="K149" s="13"/>
    </row>
    <row r="150" customFormat="false" ht="15" hidden="false" customHeight="false" outlineLevel="0" collapsed="false">
      <c r="A150" s="12"/>
      <c r="B150" s="12"/>
      <c r="C150" s="12"/>
      <c r="D150" s="12"/>
      <c r="E150" s="12"/>
      <c r="F150" s="12"/>
      <c r="G150" s="13"/>
      <c r="H150" s="13"/>
      <c r="I150" s="7" t="str">
        <f aca="false">IF(AND(G150&lt;&gt;"",G150=H150),"yes",IF(G150="","",IF(G150&lt;&gt;H150,"NO","")))</f>
        <v/>
      </c>
      <c r="J150" s="13"/>
      <c r="K150" s="13"/>
    </row>
    <row r="151" customFormat="false" ht="15" hidden="false" customHeight="false" outlineLevel="0" collapsed="false">
      <c r="A151" s="12"/>
      <c r="B151" s="12"/>
      <c r="C151" s="12"/>
      <c r="D151" s="12"/>
      <c r="E151" s="12"/>
      <c r="F151" s="12"/>
      <c r="G151" s="13"/>
      <c r="H151" s="13"/>
      <c r="I151" s="7" t="str">
        <f aca="false">IF(AND(G151&lt;&gt;"",G151=H151),"yes",IF(G151="","",IF(G151&lt;&gt;H151,"NO","")))</f>
        <v/>
      </c>
      <c r="J151" s="13"/>
      <c r="K151" s="13"/>
    </row>
    <row r="152" customFormat="false" ht="15" hidden="false" customHeight="false" outlineLevel="0" collapsed="false">
      <c r="A152" s="12"/>
      <c r="B152" s="12"/>
      <c r="C152" s="12"/>
      <c r="D152" s="12"/>
      <c r="E152" s="12"/>
      <c r="F152" s="12"/>
      <c r="G152" s="13"/>
      <c r="H152" s="13"/>
      <c r="I152" s="7" t="str">
        <f aca="false">IF(AND(G152&lt;&gt;"",G152=H152),"yes",IF(G152="","",IF(G152&lt;&gt;H152,"NO","")))</f>
        <v/>
      </c>
      <c r="J152" s="13"/>
      <c r="K152" s="13"/>
    </row>
    <row r="153" customFormat="false" ht="15" hidden="false" customHeight="false" outlineLevel="0" collapsed="false">
      <c r="A153" s="12"/>
      <c r="B153" s="12"/>
      <c r="C153" s="12"/>
      <c r="D153" s="12"/>
      <c r="E153" s="12"/>
      <c r="F153" s="12"/>
      <c r="G153" s="13"/>
      <c r="H153" s="13"/>
      <c r="I153" s="7" t="str">
        <f aca="false">IF(AND(G153&lt;&gt;"",G153=H153),"yes",IF(G153="","",IF(G153&lt;&gt;H153,"NO","")))</f>
        <v/>
      </c>
      <c r="J153" s="13"/>
      <c r="K153" s="13"/>
    </row>
    <row r="154" customFormat="false" ht="15" hidden="false" customHeight="false" outlineLevel="0" collapsed="false">
      <c r="A154" s="12"/>
      <c r="B154" s="12"/>
      <c r="C154" s="12"/>
      <c r="D154" s="12"/>
      <c r="E154" s="12"/>
      <c r="F154" s="12"/>
      <c r="G154" s="13"/>
      <c r="H154" s="13"/>
      <c r="I154" s="7" t="str">
        <f aca="false">IF(AND(G154&lt;&gt;"",G154=H154),"yes",IF(G154="","",IF(G154&lt;&gt;H154,"NO","")))</f>
        <v/>
      </c>
      <c r="J154" s="13"/>
      <c r="K154" s="13"/>
    </row>
    <row r="155" customFormat="false" ht="15" hidden="false" customHeight="false" outlineLevel="0" collapsed="false">
      <c r="A155" s="12"/>
      <c r="B155" s="12"/>
      <c r="C155" s="12"/>
      <c r="D155" s="12"/>
      <c r="E155" s="12"/>
      <c r="F155" s="12"/>
      <c r="G155" s="13"/>
      <c r="H155" s="13"/>
      <c r="I155" s="7" t="str">
        <f aca="false">IF(AND(G155&lt;&gt;"",G155=H155),"yes",IF(G155="","",IF(G155&lt;&gt;H155,"NO","")))</f>
        <v/>
      </c>
      <c r="J155" s="13"/>
      <c r="K155" s="13"/>
    </row>
    <row r="156" customFormat="false" ht="15" hidden="false" customHeight="false" outlineLevel="0" collapsed="false">
      <c r="A156" s="12"/>
      <c r="B156" s="12"/>
      <c r="C156" s="12"/>
      <c r="D156" s="12"/>
      <c r="E156" s="12"/>
      <c r="F156" s="12"/>
      <c r="G156" s="13"/>
      <c r="H156" s="13"/>
      <c r="I156" s="7" t="str">
        <f aca="false">IF(AND(G156&lt;&gt;"",G156=H156),"yes",IF(G156="","",IF(G156&lt;&gt;H156,"NO","")))</f>
        <v/>
      </c>
      <c r="J156" s="13"/>
      <c r="K156" s="13"/>
    </row>
    <row r="157" customFormat="false" ht="15" hidden="false" customHeight="false" outlineLevel="0" collapsed="false">
      <c r="A157" s="12"/>
      <c r="B157" s="12"/>
      <c r="C157" s="12"/>
      <c r="D157" s="12"/>
      <c r="E157" s="12"/>
      <c r="F157" s="12"/>
      <c r="G157" s="13"/>
      <c r="H157" s="13"/>
      <c r="I157" s="7" t="str">
        <f aca="false">IF(AND(G157&lt;&gt;"",G157=H157),"yes",IF(G157="","",IF(G157&lt;&gt;H157,"NO","")))</f>
        <v/>
      </c>
      <c r="J157" s="13"/>
      <c r="K157" s="13"/>
    </row>
    <row r="158" customFormat="false" ht="15" hidden="false" customHeight="false" outlineLevel="0" collapsed="false">
      <c r="A158" s="12"/>
      <c r="B158" s="12"/>
      <c r="C158" s="12"/>
      <c r="D158" s="12"/>
      <c r="E158" s="12"/>
      <c r="F158" s="12"/>
      <c r="G158" s="13"/>
      <c r="H158" s="13"/>
      <c r="I158" s="7" t="str">
        <f aca="false">IF(AND(G158&lt;&gt;"",G158=H158),"yes",IF(G158="","",IF(G158&lt;&gt;H158,"NO","")))</f>
        <v/>
      </c>
      <c r="J158" s="13"/>
      <c r="K158" s="13"/>
    </row>
    <row r="159" customFormat="false" ht="15" hidden="false" customHeight="false" outlineLevel="0" collapsed="false">
      <c r="A159" s="12"/>
      <c r="B159" s="12"/>
      <c r="C159" s="12"/>
      <c r="D159" s="12"/>
      <c r="E159" s="12"/>
      <c r="F159" s="12"/>
      <c r="G159" s="13"/>
      <c r="H159" s="13"/>
      <c r="I159" s="7" t="str">
        <f aca="false">IF(AND(G159&lt;&gt;"",G159=H159),"yes",IF(G159="","",IF(G159&lt;&gt;H159,"NO","")))</f>
        <v/>
      </c>
      <c r="J159" s="13"/>
      <c r="K159" s="13"/>
    </row>
    <row r="160" customFormat="false" ht="15" hidden="false" customHeight="false" outlineLevel="0" collapsed="false">
      <c r="A160" s="12"/>
      <c r="B160" s="12"/>
      <c r="C160" s="12"/>
      <c r="D160" s="12"/>
      <c r="E160" s="12"/>
      <c r="F160" s="12"/>
      <c r="G160" s="13"/>
      <c r="H160" s="13"/>
      <c r="I160" s="7" t="str">
        <f aca="false">IF(AND(G160&lt;&gt;"",G160=H160),"yes",IF(G160="","",IF(G160&lt;&gt;H160,"NO","")))</f>
        <v/>
      </c>
      <c r="J160" s="13"/>
      <c r="K160" s="13"/>
    </row>
    <row r="161" customFormat="false" ht="15" hidden="false" customHeight="false" outlineLevel="0" collapsed="false">
      <c r="A161" s="12"/>
      <c r="B161" s="12"/>
      <c r="C161" s="12"/>
      <c r="D161" s="12"/>
      <c r="E161" s="12"/>
      <c r="F161" s="12"/>
      <c r="G161" s="13"/>
      <c r="H161" s="13"/>
      <c r="I161" s="7" t="str">
        <f aca="false">IF(AND(G161&lt;&gt;"",G161=H161),"yes",IF(G161="","",IF(G161&lt;&gt;H161,"NO","")))</f>
        <v/>
      </c>
      <c r="J161" s="13"/>
      <c r="K161" s="13"/>
    </row>
    <row r="162" customFormat="false" ht="15" hidden="false" customHeight="false" outlineLevel="0" collapsed="false">
      <c r="A162" s="12"/>
      <c r="B162" s="12"/>
      <c r="C162" s="12"/>
      <c r="D162" s="12"/>
      <c r="E162" s="12"/>
      <c r="F162" s="12"/>
      <c r="G162" s="13"/>
      <c r="H162" s="13"/>
      <c r="I162" s="7" t="str">
        <f aca="false">IF(AND(G162&lt;&gt;"",G162=H162),"yes",IF(G162="","",IF(G162&lt;&gt;H162,"NO","")))</f>
        <v/>
      </c>
      <c r="J162" s="13"/>
      <c r="K162" s="13"/>
    </row>
    <row r="163" customFormat="false" ht="15" hidden="false" customHeight="false" outlineLevel="0" collapsed="false">
      <c r="A163" s="12"/>
      <c r="B163" s="12"/>
      <c r="C163" s="12"/>
      <c r="D163" s="12"/>
      <c r="E163" s="12"/>
      <c r="F163" s="12"/>
      <c r="G163" s="13"/>
      <c r="H163" s="13"/>
      <c r="I163" s="7" t="str">
        <f aca="false">IF(AND(G163&lt;&gt;"",G163=H163),"yes",IF(G163="","",IF(G163&lt;&gt;H163,"NO","")))</f>
        <v/>
      </c>
      <c r="J163" s="13"/>
      <c r="K163" s="13"/>
    </row>
    <row r="164" customFormat="false" ht="15" hidden="false" customHeight="false" outlineLevel="0" collapsed="false">
      <c r="A164" s="12"/>
      <c r="B164" s="12"/>
      <c r="C164" s="12"/>
      <c r="D164" s="12"/>
      <c r="E164" s="12"/>
      <c r="F164" s="12"/>
      <c r="G164" s="13"/>
      <c r="H164" s="13"/>
      <c r="I164" s="7" t="str">
        <f aca="false">IF(AND(G164&lt;&gt;"",G164=H164),"yes",IF(G164="","",IF(G164&lt;&gt;H164,"NO","")))</f>
        <v/>
      </c>
      <c r="J164" s="13"/>
      <c r="K164" s="13"/>
    </row>
    <row r="165" customFormat="false" ht="15" hidden="false" customHeight="false" outlineLevel="0" collapsed="false">
      <c r="A165" s="12"/>
      <c r="B165" s="12"/>
      <c r="C165" s="12"/>
      <c r="D165" s="12"/>
      <c r="E165" s="12"/>
      <c r="F165" s="12"/>
      <c r="G165" s="13"/>
      <c r="H165" s="13"/>
      <c r="I165" s="7" t="str">
        <f aca="false">IF(AND(G165&lt;&gt;"",G165=H165),"yes",IF(G165="","",IF(G165&lt;&gt;H165,"NO","")))</f>
        <v/>
      </c>
      <c r="J165" s="13"/>
      <c r="K165" s="13"/>
    </row>
    <row r="166" customFormat="false" ht="15" hidden="false" customHeight="false" outlineLevel="0" collapsed="false">
      <c r="A166" s="12"/>
      <c r="B166" s="12"/>
      <c r="C166" s="12"/>
      <c r="D166" s="12"/>
      <c r="E166" s="12"/>
      <c r="F166" s="12"/>
      <c r="G166" s="13"/>
      <c r="H166" s="13"/>
      <c r="I166" s="7" t="str">
        <f aca="false">IF(AND(G166&lt;&gt;"",G166=H166),"yes",IF(G166="","",IF(G166&lt;&gt;H166,"NO","")))</f>
        <v/>
      </c>
      <c r="J166" s="13"/>
      <c r="K166" s="13"/>
    </row>
    <row r="167" customFormat="false" ht="15" hidden="false" customHeight="false" outlineLevel="0" collapsed="false">
      <c r="A167" s="12"/>
      <c r="B167" s="12"/>
      <c r="C167" s="12"/>
      <c r="D167" s="12"/>
      <c r="E167" s="12"/>
      <c r="F167" s="12"/>
      <c r="G167" s="13"/>
      <c r="H167" s="13"/>
      <c r="I167" s="7" t="str">
        <f aca="false">IF(AND(G167&lt;&gt;"",G167=H167),"yes",IF(G167="","",IF(G167&lt;&gt;H167,"NO","")))</f>
        <v/>
      </c>
      <c r="J167" s="13"/>
      <c r="K167" s="13"/>
    </row>
    <row r="168" customFormat="false" ht="15" hidden="false" customHeight="false" outlineLevel="0" collapsed="false">
      <c r="A168" s="12"/>
      <c r="B168" s="12"/>
      <c r="C168" s="12"/>
      <c r="D168" s="12"/>
      <c r="E168" s="12"/>
      <c r="F168" s="12"/>
      <c r="G168" s="13"/>
      <c r="H168" s="13"/>
      <c r="I168" s="7" t="str">
        <f aca="false">IF(AND(G168&lt;&gt;"",G168=H168),"yes",IF(G168="","",IF(G168&lt;&gt;H168,"NO","")))</f>
        <v/>
      </c>
      <c r="J168" s="13"/>
      <c r="K168" s="13"/>
    </row>
    <row r="169" customFormat="false" ht="15" hidden="false" customHeight="false" outlineLevel="0" collapsed="false">
      <c r="A169" s="12"/>
      <c r="B169" s="12"/>
      <c r="C169" s="12"/>
      <c r="D169" s="12"/>
      <c r="E169" s="12"/>
      <c r="F169" s="12"/>
      <c r="G169" s="13"/>
      <c r="H169" s="13"/>
      <c r="I169" s="7" t="str">
        <f aca="false">IF(AND(G169&lt;&gt;"",G169=H169),"yes",IF(G169="","",IF(G169&lt;&gt;H169,"NO","")))</f>
        <v/>
      </c>
      <c r="J169" s="13"/>
      <c r="K169" s="13"/>
    </row>
    <row r="170" customFormat="false" ht="15" hidden="false" customHeight="false" outlineLevel="0" collapsed="false">
      <c r="A170" s="12"/>
      <c r="B170" s="12"/>
      <c r="C170" s="12"/>
      <c r="D170" s="12"/>
      <c r="E170" s="12"/>
      <c r="F170" s="12"/>
      <c r="G170" s="13"/>
      <c r="H170" s="13"/>
      <c r="I170" s="7" t="str">
        <f aca="false">IF(AND(G170&lt;&gt;"",G170=H170),"yes",IF(G170="","",IF(G170&lt;&gt;H170,"NO","")))</f>
        <v/>
      </c>
      <c r="J170" s="13"/>
      <c r="K170" s="13"/>
    </row>
    <row r="171" customFormat="false" ht="15" hidden="false" customHeight="false" outlineLevel="0" collapsed="false">
      <c r="A171" s="12"/>
      <c r="B171" s="12"/>
      <c r="C171" s="12"/>
      <c r="D171" s="12"/>
      <c r="E171" s="12"/>
      <c r="F171" s="12"/>
      <c r="G171" s="13"/>
      <c r="H171" s="13"/>
      <c r="I171" s="7" t="str">
        <f aca="false">IF(AND(G171&lt;&gt;"",G171=H171),"yes",IF(G171="","",IF(G171&lt;&gt;H171,"NO","")))</f>
        <v/>
      </c>
      <c r="J171" s="13"/>
      <c r="K171" s="13"/>
    </row>
    <row r="172" customFormat="false" ht="15" hidden="false" customHeight="false" outlineLevel="0" collapsed="false">
      <c r="A172" s="12"/>
      <c r="B172" s="12"/>
      <c r="C172" s="12"/>
      <c r="D172" s="12"/>
      <c r="E172" s="12"/>
      <c r="F172" s="12"/>
      <c r="G172" s="13"/>
      <c r="H172" s="13"/>
      <c r="I172" s="7" t="str">
        <f aca="false">IF(AND(G172&lt;&gt;"",G172=H172),"yes",IF(G172="","",IF(G172&lt;&gt;H172,"NO","")))</f>
        <v/>
      </c>
      <c r="J172" s="13"/>
      <c r="K172" s="13"/>
    </row>
    <row r="173" customFormat="false" ht="15" hidden="false" customHeight="false" outlineLevel="0" collapsed="false">
      <c r="A173" s="12"/>
      <c r="B173" s="12"/>
      <c r="C173" s="12"/>
      <c r="D173" s="12"/>
      <c r="E173" s="12"/>
      <c r="F173" s="12"/>
      <c r="G173" s="13"/>
      <c r="H173" s="13"/>
      <c r="I173" s="7" t="str">
        <f aca="false">IF(AND(G173&lt;&gt;"",G173=H173),"yes",IF(G173="","",IF(G173&lt;&gt;H173,"NO","")))</f>
        <v/>
      </c>
      <c r="J173" s="13"/>
      <c r="K173" s="13"/>
    </row>
    <row r="174" customFormat="false" ht="15" hidden="false" customHeight="false" outlineLevel="0" collapsed="false">
      <c r="A174" s="12"/>
      <c r="B174" s="12"/>
      <c r="C174" s="12"/>
      <c r="D174" s="12"/>
      <c r="E174" s="12"/>
      <c r="F174" s="12"/>
      <c r="G174" s="13"/>
      <c r="H174" s="13"/>
      <c r="I174" s="7" t="str">
        <f aca="false">IF(AND(G174&lt;&gt;"",G174=H174),"yes",IF(G174="","",IF(G174&lt;&gt;H174,"NO","")))</f>
        <v/>
      </c>
      <c r="J174" s="13"/>
      <c r="K174" s="13"/>
    </row>
    <row r="175" customFormat="false" ht="15" hidden="false" customHeight="false" outlineLevel="0" collapsed="false">
      <c r="A175" s="12"/>
      <c r="B175" s="12"/>
      <c r="C175" s="12"/>
      <c r="D175" s="12"/>
      <c r="E175" s="12"/>
      <c r="F175" s="12"/>
      <c r="G175" s="13"/>
      <c r="H175" s="13"/>
      <c r="I175" s="7" t="str">
        <f aca="false">IF(AND(G175&lt;&gt;"",G175=H175),"yes",IF(G175="","",IF(G175&lt;&gt;H175,"NO","")))</f>
        <v/>
      </c>
      <c r="J175" s="13"/>
      <c r="K175" s="13"/>
    </row>
    <row r="176" customFormat="false" ht="15" hidden="false" customHeight="false" outlineLevel="0" collapsed="false">
      <c r="A176" s="12"/>
      <c r="B176" s="12"/>
      <c r="C176" s="12"/>
      <c r="D176" s="12"/>
      <c r="E176" s="12"/>
      <c r="F176" s="12"/>
      <c r="G176" s="13"/>
      <c r="H176" s="13"/>
      <c r="I176" s="7" t="str">
        <f aca="false">IF(AND(G176&lt;&gt;"",G176=H176),"yes",IF(G176="","",IF(G176&lt;&gt;H176,"NO","")))</f>
        <v/>
      </c>
      <c r="J176" s="13"/>
      <c r="K176" s="13"/>
    </row>
    <row r="177" customFormat="false" ht="15" hidden="false" customHeight="false" outlineLevel="0" collapsed="false">
      <c r="A177" s="12"/>
      <c r="B177" s="12"/>
      <c r="C177" s="12"/>
      <c r="D177" s="12"/>
      <c r="E177" s="12"/>
      <c r="F177" s="12"/>
      <c r="G177" s="13"/>
      <c r="H177" s="13"/>
      <c r="I177" s="7" t="str">
        <f aca="false">IF(AND(G177&lt;&gt;"",G177=H177),"yes",IF(G177="","",IF(G177&lt;&gt;H177,"NO","")))</f>
        <v/>
      </c>
      <c r="J177" s="13"/>
      <c r="K177" s="13"/>
    </row>
    <row r="178" customFormat="false" ht="15" hidden="false" customHeight="false" outlineLevel="0" collapsed="false">
      <c r="A178" s="12"/>
      <c r="B178" s="12"/>
      <c r="C178" s="12"/>
      <c r="D178" s="12"/>
      <c r="E178" s="12"/>
      <c r="F178" s="12"/>
      <c r="G178" s="13"/>
      <c r="H178" s="13"/>
      <c r="I178" s="7" t="str">
        <f aca="false">IF(AND(G178&lt;&gt;"",G178=H178),"yes",IF(G178="","",IF(G178&lt;&gt;H178,"NO","")))</f>
        <v/>
      </c>
      <c r="J178" s="13"/>
      <c r="K178" s="13"/>
    </row>
    <row r="179" customFormat="false" ht="15" hidden="false" customHeight="false" outlineLevel="0" collapsed="false">
      <c r="A179" s="12"/>
      <c r="B179" s="12"/>
      <c r="C179" s="12"/>
      <c r="D179" s="12"/>
      <c r="E179" s="12"/>
      <c r="F179" s="12"/>
      <c r="G179" s="13"/>
      <c r="H179" s="13"/>
      <c r="I179" s="7" t="str">
        <f aca="false">IF(AND(G179&lt;&gt;"",G179=H179),"yes",IF(G179="","",IF(G179&lt;&gt;H179,"NO","")))</f>
        <v/>
      </c>
      <c r="J179" s="13"/>
      <c r="K179" s="13"/>
    </row>
    <row r="180" customFormat="false" ht="15" hidden="false" customHeight="false" outlineLevel="0" collapsed="false">
      <c r="A180" s="12"/>
      <c r="B180" s="12"/>
      <c r="C180" s="12"/>
      <c r="D180" s="12"/>
      <c r="E180" s="12"/>
      <c r="F180" s="12"/>
      <c r="G180" s="13"/>
      <c r="H180" s="13"/>
      <c r="I180" s="7" t="str">
        <f aca="false">IF(AND(G180&lt;&gt;"",G180=H180),"yes",IF(G180="","",IF(G180&lt;&gt;H180,"NO","")))</f>
        <v/>
      </c>
      <c r="J180" s="13"/>
      <c r="K180" s="13"/>
    </row>
    <row r="181" customFormat="false" ht="15" hidden="false" customHeight="false" outlineLevel="0" collapsed="false">
      <c r="A181" s="12"/>
      <c r="B181" s="12"/>
      <c r="C181" s="12"/>
      <c r="D181" s="12"/>
      <c r="E181" s="12"/>
      <c r="F181" s="12"/>
      <c r="G181" s="13"/>
      <c r="H181" s="13"/>
      <c r="I181" s="7" t="str">
        <f aca="false">IF(AND(G181&lt;&gt;"",G181=H181),"yes",IF(G181="","",IF(G181&lt;&gt;H181,"NO","")))</f>
        <v/>
      </c>
      <c r="J181" s="13"/>
      <c r="K181" s="13"/>
    </row>
    <row r="182" customFormat="false" ht="15" hidden="false" customHeight="false" outlineLevel="0" collapsed="false">
      <c r="A182" s="12"/>
      <c r="B182" s="12"/>
      <c r="C182" s="12"/>
      <c r="D182" s="12"/>
      <c r="E182" s="12"/>
      <c r="F182" s="12"/>
      <c r="G182" s="13"/>
      <c r="H182" s="13"/>
      <c r="I182" s="7" t="str">
        <f aca="false">IF(AND(G182&lt;&gt;"",G182=H182),"yes",IF(G182="","",IF(G182&lt;&gt;H182,"NO","")))</f>
        <v/>
      </c>
      <c r="J182" s="13"/>
      <c r="K182" s="13"/>
    </row>
    <row r="183" customFormat="false" ht="15" hidden="false" customHeight="false" outlineLevel="0" collapsed="false">
      <c r="A183" s="12"/>
      <c r="B183" s="12"/>
      <c r="C183" s="12"/>
      <c r="D183" s="12"/>
      <c r="E183" s="12"/>
      <c r="F183" s="12"/>
      <c r="G183" s="13"/>
      <c r="H183" s="13"/>
      <c r="I183" s="7" t="str">
        <f aca="false">IF(AND(G183&lt;&gt;"",G183=H183),"yes",IF(G183="","",IF(G183&lt;&gt;H183,"NO","")))</f>
        <v/>
      </c>
      <c r="J183" s="13"/>
      <c r="K183" s="13"/>
    </row>
    <row r="184" customFormat="false" ht="15" hidden="false" customHeight="false" outlineLevel="0" collapsed="false">
      <c r="A184" s="12"/>
      <c r="B184" s="12"/>
      <c r="C184" s="12"/>
      <c r="D184" s="12"/>
      <c r="E184" s="12"/>
      <c r="F184" s="12"/>
      <c r="G184" s="13"/>
      <c r="H184" s="13"/>
      <c r="I184" s="7" t="str">
        <f aca="false">IF(AND(G184&lt;&gt;"",G184=H184),"yes",IF(G184="","",IF(G184&lt;&gt;H184,"NO","")))</f>
        <v/>
      </c>
      <c r="J184" s="13"/>
      <c r="K184" s="13"/>
    </row>
    <row r="185" customFormat="false" ht="15" hidden="false" customHeight="false" outlineLevel="0" collapsed="false">
      <c r="A185" s="12"/>
      <c r="B185" s="12"/>
      <c r="C185" s="12"/>
      <c r="D185" s="12"/>
      <c r="E185" s="12"/>
      <c r="F185" s="12"/>
      <c r="G185" s="13"/>
      <c r="H185" s="13"/>
      <c r="I185" s="7" t="str">
        <f aca="false">IF(AND(G185&lt;&gt;"",G185=H185),"yes",IF(G185="","",IF(G185&lt;&gt;H185,"NO","")))</f>
        <v/>
      </c>
      <c r="J185" s="13"/>
      <c r="K185" s="13"/>
    </row>
    <row r="186" customFormat="false" ht="15" hidden="false" customHeight="false" outlineLevel="0" collapsed="false">
      <c r="A186" s="12"/>
      <c r="B186" s="12"/>
      <c r="C186" s="12"/>
      <c r="D186" s="12"/>
      <c r="E186" s="12"/>
      <c r="F186" s="12"/>
      <c r="G186" s="13"/>
      <c r="H186" s="13"/>
      <c r="I186" s="7" t="str">
        <f aca="false">IF(AND(G186&lt;&gt;"",G186=H186),"yes",IF(G186="","",IF(G186&lt;&gt;H186,"NO","")))</f>
        <v/>
      </c>
      <c r="J186" s="13"/>
      <c r="K186" s="13"/>
    </row>
    <row r="187" customFormat="false" ht="15" hidden="false" customHeight="false" outlineLevel="0" collapsed="false">
      <c r="A187" s="12"/>
      <c r="B187" s="12"/>
      <c r="C187" s="12"/>
      <c r="D187" s="12"/>
      <c r="E187" s="12"/>
      <c r="F187" s="12"/>
      <c r="G187" s="13"/>
      <c r="H187" s="13"/>
      <c r="I187" s="7" t="str">
        <f aca="false">IF(AND(G187&lt;&gt;"",G187=H187),"yes",IF(G187="","",IF(G187&lt;&gt;H187,"NO","")))</f>
        <v/>
      </c>
      <c r="J187" s="13"/>
      <c r="K187" s="13"/>
    </row>
    <row r="188" customFormat="false" ht="15" hidden="false" customHeight="false" outlineLevel="0" collapsed="false">
      <c r="A188" s="12"/>
      <c r="B188" s="12"/>
      <c r="C188" s="12"/>
      <c r="D188" s="12"/>
      <c r="E188" s="12"/>
      <c r="F188" s="12"/>
      <c r="G188" s="13"/>
      <c r="H188" s="13"/>
      <c r="I188" s="7" t="str">
        <f aca="false">IF(AND(G188&lt;&gt;"",G188=H188),"yes",IF(G188="","",IF(G188&lt;&gt;H188,"NO","")))</f>
        <v/>
      </c>
      <c r="J188" s="13"/>
      <c r="K188" s="13"/>
    </row>
    <row r="189" customFormat="false" ht="15" hidden="false" customHeight="false" outlineLevel="0" collapsed="false">
      <c r="A189" s="12"/>
      <c r="B189" s="12"/>
      <c r="C189" s="12"/>
      <c r="D189" s="12"/>
      <c r="E189" s="12"/>
      <c r="F189" s="12"/>
      <c r="G189" s="13"/>
      <c r="H189" s="13"/>
      <c r="I189" s="7" t="str">
        <f aca="false">IF(AND(G189&lt;&gt;"",G189=H189),"yes",IF(G189="","",IF(G189&lt;&gt;H189,"NO","")))</f>
        <v/>
      </c>
      <c r="J189" s="13"/>
      <c r="K189" s="13"/>
    </row>
    <row r="190" customFormat="false" ht="15" hidden="false" customHeight="false" outlineLevel="0" collapsed="false">
      <c r="A190" s="12"/>
      <c r="B190" s="12"/>
      <c r="C190" s="12"/>
      <c r="D190" s="12"/>
      <c r="E190" s="12"/>
      <c r="F190" s="12"/>
      <c r="G190" s="13"/>
      <c r="H190" s="13"/>
      <c r="I190" s="7" t="str">
        <f aca="false">IF(AND(G190&lt;&gt;"",G190=H190),"yes",IF(G190="","",IF(G190&lt;&gt;H190,"NO","")))</f>
        <v/>
      </c>
      <c r="J190" s="13"/>
      <c r="K190" s="13"/>
    </row>
    <row r="191" customFormat="false" ht="15" hidden="false" customHeight="false" outlineLevel="0" collapsed="false">
      <c r="A191" s="12"/>
      <c r="B191" s="12"/>
      <c r="C191" s="12"/>
      <c r="D191" s="12"/>
      <c r="E191" s="12"/>
      <c r="F191" s="12"/>
      <c r="G191" s="13"/>
      <c r="H191" s="13"/>
      <c r="I191" s="7" t="str">
        <f aca="false">IF(AND(G191&lt;&gt;"",G191=H191),"yes",IF(G191="","",IF(G191&lt;&gt;H191,"NO","")))</f>
        <v/>
      </c>
      <c r="J191" s="13"/>
      <c r="K191" s="13"/>
    </row>
    <row r="192" customFormat="false" ht="15" hidden="false" customHeight="false" outlineLevel="0" collapsed="false">
      <c r="A192" s="12"/>
      <c r="B192" s="12"/>
      <c r="C192" s="12"/>
      <c r="D192" s="12"/>
      <c r="E192" s="12"/>
      <c r="F192" s="12"/>
      <c r="G192" s="13"/>
      <c r="H192" s="13"/>
      <c r="I192" s="7" t="str">
        <f aca="false">IF(AND(G192&lt;&gt;"",G192=H192),"yes",IF(G192="","",IF(G192&lt;&gt;H192,"NO","")))</f>
        <v/>
      </c>
      <c r="J192" s="13"/>
      <c r="K192" s="13"/>
    </row>
    <row r="193" customFormat="false" ht="15" hidden="false" customHeight="false" outlineLevel="0" collapsed="false">
      <c r="A193" s="12"/>
      <c r="B193" s="12"/>
      <c r="C193" s="12"/>
      <c r="D193" s="12"/>
      <c r="E193" s="12"/>
      <c r="F193" s="12"/>
      <c r="G193" s="13"/>
      <c r="H193" s="13"/>
      <c r="I193" s="7" t="str">
        <f aca="false">IF(AND(G193&lt;&gt;"",G193=H193),"yes",IF(G193="","",IF(G193&lt;&gt;H193,"NO","")))</f>
        <v/>
      </c>
      <c r="J193" s="13"/>
      <c r="K193" s="13"/>
    </row>
    <row r="194" customFormat="false" ht="15" hidden="false" customHeight="false" outlineLevel="0" collapsed="false">
      <c r="A194" s="12"/>
      <c r="B194" s="12"/>
      <c r="C194" s="12"/>
      <c r="D194" s="12"/>
      <c r="E194" s="12"/>
      <c r="F194" s="12"/>
      <c r="G194" s="13"/>
      <c r="H194" s="13"/>
      <c r="I194" s="7" t="str">
        <f aca="false">IF(AND(G194&lt;&gt;"",G194=H194),"yes",IF(G194="","",IF(G194&lt;&gt;H194,"NO","")))</f>
        <v/>
      </c>
      <c r="J194" s="13"/>
      <c r="K194" s="13"/>
    </row>
    <row r="195" customFormat="false" ht="15" hidden="false" customHeight="false" outlineLevel="0" collapsed="false">
      <c r="A195" s="12"/>
      <c r="B195" s="12"/>
      <c r="C195" s="12"/>
      <c r="D195" s="12"/>
      <c r="E195" s="12"/>
      <c r="F195" s="12"/>
      <c r="G195" s="13"/>
      <c r="H195" s="13"/>
      <c r="I195" s="7" t="str">
        <f aca="false">IF(AND(G195&lt;&gt;"",G195=H195),"yes",IF(G195="","",IF(G195&lt;&gt;H195,"NO","")))</f>
        <v/>
      </c>
      <c r="J195" s="13"/>
      <c r="K195" s="13"/>
    </row>
    <row r="196" customFormat="false" ht="15" hidden="false" customHeight="false" outlineLevel="0" collapsed="false">
      <c r="A196" s="12"/>
      <c r="B196" s="12"/>
      <c r="C196" s="12"/>
      <c r="D196" s="12"/>
      <c r="E196" s="12"/>
      <c r="F196" s="12"/>
      <c r="G196" s="13"/>
      <c r="H196" s="13"/>
      <c r="I196" s="7" t="str">
        <f aca="false">IF(AND(G196&lt;&gt;"",G196=H196),"yes",IF(G196="","",IF(G196&lt;&gt;H196,"NO","")))</f>
        <v/>
      </c>
      <c r="J196" s="13"/>
      <c r="K196" s="13"/>
    </row>
    <row r="197" customFormat="false" ht="15" hidden="false" customHeight="false" outlineLevel="0" collapsed="false">
      <c r="A197" s="12"/>
      <c r="B197" s="12"/>
      <c r="C197" s="12"/>
      <c r="D197" s="12"/>
      <c r="E197" s="12"/>
      <c r="F197" s="12"/>
      <c r="G197" s="13"/>
      <c r="H197" s="13"/>
      <c r="I197" s="7" t="str">
        <f aca="false">IF(AND(G197&lt;&gt;"",G197=H197),"yes",IF(G197="","",IF(G197&lt;&gt;H197,"NO","")))</f>
        <v/>
      </c>
      <c r="J197" s="13"/>
      <c r="K197" s="13"/>
    </row>
    <row r="198" customFormat="false" ht="15" hidden="false" customHeight="false" outlineLevel="0" collapsed="false">
      <c r="A198" s="12"/>
      <c r="B198" s="12"/>
      <c r="C198" s="12"/>
      <c r="D198" s="12"/>
      <c r="E198" s="12"/>
      <c r="F198" s="12"/>
      <c r="G198" s="13"/>
      <c r="H198" s="13"/>
      <c r="I198" s="7" t="str">
        <f aca="false">IF(AND(G198&lt;&gt;"",G198=H198),"yes",IF(G198="","",IF(G198&lt;&gt;H198,"NO","")))</f>
        <v/>
      </c>
      <c r="J198" s="13"/>
      <c r="K198" s="13"/>
    </row>
    <row r="199" customFormat="false" ht="15" hidden="false" customHeight="false" outlineLevel="0" collapsed="false">
      <c r="A199" s="12"/>
      <c r="B199" s="12"/>
      <c r="C199" s="12"/>
      <c r="D199" s="12"/>
      <c r="E199" s="12"/>
      <c r="F199" s="12"/>
      <c r="G199" s="13"/>
      <c r="H199" s="13"/>
      <c r="I199" s="7" t="str">
        <f aca="false">IF(AND(G199&lt;&gt;"",G199=H199),"yes",IF(G199="","",IF(G199&lt;&gt;H199,"NO","")))</f>
        <v/>
      </c>
      <c r="J199" s="13"/>
      <c r="K199" s="13"/>
    </row>
    <row r="200" customFormat="false" ht="15" hidden="false" customHeight="false" outlineLevel="0" collapsed="false">
      <c r="A200" s="12"/>
      <c r="B200" s="12"/>
      <c r="C200" s="12"/>
      <c r="D200" s="12"/>
      <c r="E200" s="12"/>
      <c r="F200" s="12"/>
      <c r="G200" s="13"/>
      <c r="H200" s="13"/>
      <c r="I200" s="7" t="str">
        <f aca="false">IF(AND(G200&lt;&gt;"",G200=H200),"yes",IF(G200="","",IF(G200&lt;&gt;H200,"NO","")))</f>
        <v/>
      </c>
      <c r="J200" s="13"/>
      <c r="K200" s="13"/>
    </row>
    <row r="201" customFormat="false" ht="15" hidden="false" customHeight="false" outlineLevel="0" collapsed="false">
      <c r="A201" s="12"/>
      <c r="B201" s="12"/>
      <c r="C201" s="12"/>
      <c r="D201" s="12"/>
      <c r="E201" s="12"/>
      <c r="F201" s="12"/>
      <c r="G201" s="13"/>
      <c r="H201" s="13"/>
      <c r="I201" s="7" t="str">
        <f aca="false">IF(AND(G201&lt;&gt;"",G201=H201),"yes",IF(G201="","",IF(G201&lt;&gt;H201,"NO","")))</f>
        <v/>
      </c>
      <c r="J201" s="13"/>
      <c r="K201" s="13"/>
    </row>
    <row r="202" customFormat="false" ht="15" hidden="false" customHeight="false" outlineLevel="0" collapsed="false">
      <c r="A202" s="12"/>
      <c r="B202" s="12"/>
      <c r="C202" s="12"/>
      <c r="D202" s="12"/>
      <c r="E202" s="12"/>
      <c r="F202" s="12"/>
      <c r="G202" s="13"/>
      <c r="H202" s="13"/>
      <c r="I202" s="7" t="str">
        <f aca="false">IF(AND(G202&lt;&gt;"",G202=H202),"yes",IF(G202="","",IF(G202&lt;&gt;H202,"NO","")))</f>
        <v/>
      </c>
      <c r="J202" s="13"/>
      <c r="K202" s="13"/>
    </row>
    <row r="203" customFormat="false" ht="15" hidden="false" customHeight="false" outlineLevel="0" collapsed="false">
      <c r="A203" s="12"/>
      <c r="B203" s="12"/>
      <c r="C203" s="12"/>
      <c r="D203" s="12"/>
      <c r="E203" s="12"/>
      <c r="F203" s="12"/>
      <c r="G203" s="13"/>
      <c r="H203" s="13"/>
      <c r="I203" s="7" t="str">
        <f aca="false">IF(AND(G203&lt;&gt;"",G203=H203),"yes",IF(G203="","",IF(G203&lt;&gt;H203,"NO","")))</f>
        <v/>
      </c>
      <c r="J203" s="13"/>
      <c r="K203" s="13"/>
    </row>
    <row r="204" customFormat="false" ht="15" hidden="false" customHeight="false" outlineLevel="0" collapsed="false">
      <c r="A204" s="12"/>
      <c r="B204" s="12"/>
      <c r="C204" s="12"/>
      <c r="D204" s="12"/>
      <c r="E204" s="12"/>
      <c r="F204" s="12"/>
      <c r="G204" s="13"/>
      <c r="H204" s="13"/>
      <c r="I204" s="7" t="str">
        <f aca="false">IF(AND(G204&lt;&gt;"",G204=H204),"yes",IF(G204="","",IF(G204&lt;&gt;H204,"NO","")))</f>
        <v/>
      </c>
      <c r="J204" s="13"/>
      <c r="K204" s="13"/>
    </row>
    <row r="207" customFormat="false" ht="15" hidden="false" customHeight="false" outlineLevel="0" collapsed="false">
      <c r="A207" s="5" t="s">
        <v>95</v>
      </c>
    </row>
    <row r="208" customFormat="false" ht="15" hidden="false" customHeight="false" outlineLevel="0" collapsed="false">
      <c r="A208" s="3" t="s">
        <v>96</v>
      </c>
      <c r="B208" s="3" t="n">
        <f aca="false">COUNTIFS(G5:G204,"Include",H5:H204,"Include")</f>
        <v>0</v>
      </c>
    </row>
    <row r="209" customFormat="false" ht="15" hidden="false" customHeight="false" outlineLevel="0" collapsed="false">
      <c r="A209" s="3" t="s">
        <v>97</v>
      </c>
      <c r="B209" s="3" t="n">
        <f aca="false">COUNTIFS(G5:G204,"Include",H5:H204,"Exclude")</f>
        <v>0</v>
      </c>
    </row>
    <row r="210" customFormat="false" ht="15" hidden="false" customHeight="false" outlineLevel="0" collapsed="false">
      <c r="A210" s="3" t="s">
        <v>98</v>
      </c>
      <c r="B210" s="3" t="n">
        <f aca="false">COUNTIFS(G5:G204,"Exclude",H5:H204,"Include")</f>
        <v>0</v>
      </c>
    </row>
    <row r="211" customFormat="false" ht="15" hidden="false" customHeight="false" outlineLevel="0" collapsed="false">
      <c r="A211" s="3" t="s">
        <v>99</v>
      </c>
      <c r="B211" s="3" t="n">
        <f aca="false">COUNTIFS(G5:G204,"Exclude",H5:H204,"Exclude")</f>
        <v>0</v>
      </c>
    </row>
    <row r="212" customFormat="false" ht="15" hidden="false" customHeight="false" outlineLevel="0" collapsed="false">
      <c r="A212" s="3" t="s">
        <v>100</v>
      </c>
      <c r="B212" s="3" t="n">
        <f aca="false">B208+B209+B210+B211</f>
        <v>0</v>
      </c>
    </row>
    <row r="213" customFormat="false" ht="15" hidden="false" customHeight="false" outlineLevel="0" collapsed="false">
      <c r="A213" s="3" t="s">
        <v>101</v>
      </c>
      <c r="B213" s="3" t="n">
        <f aca="false">IFERROR((B208+B211)/B212,0)</f>
        <v>0</v>
      </c>
    </row>
    <row r="214" customFormat="false" ht="15" hidden="false" customHeight="false" outlineLevel="0" collapsed="false">
      <c r="A214" s="3" t="s">
        <v>102</v>
      </c>
      <c r="B214" s="3" t="n">
        <f aca="false">IFERROR(((B208+B209)*(B208+B210)+(B210+B211)*(B209+B211))/(B212*B212),0)</f>
        <v>0</v>
      </c>
    </row>
    <row r="215" customFormat="false" ht="15" hidden="false" customHeight="false" outlineLevel="0" collapsed="false">
      <c r="A215" s="3" t="s">
        <v>103</v>
      </c>
      <c r="B215" s="5" t="n">
        <f aca="false">IFERROR((B213-B214)/(1-B214),0)</f>
        <v>0</v>
      </c>
      <c r="C215" s="2" t="s">
        <v>104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7"/>
    <col collapsed="false" customWidth="true" hidden="false" outlineLevel="0" max="2" min="2" style="0" width="34"/>
    <col collapsed="false" customWidth="true" hidden="false" outlineLevel="0" max="8" min="3" style="0" width="7"/>
    <col collapsed="false" customWidth="true" hidden="false" outlineLevel="0" max="9" min="9" style="0" width="10"/>
    <col collapsed="false" customWidth="true" hidden="false" outlineLevel="0" max="10" min="10" style="0" width="16"/>
    <col collapsed="false" customWidth="true" hidden="false" outlineLevel="0" max="11" min="11" style="0" width="26"/>
  </cols>
  <sheetData>
    <row r="1" customFormat="false" ht="17.35" hidden="false" customHeight="false" outlineLevel="0" collapsed="false">
      <c r="A1" s="1" t="s">
        <v>105</v>
      </c>
    </row>
    <row r="3" customFormat="false" ht="15" hidden="false" customHeight="false" outlineLevel="0" collapsed="false">
      <c r="A3" s="6" t="s">
        <v>106</v>
      </c>
      <c r="B3" s="6" t="s">
        <v>107</v>
      </c>
      <c r="C3" s="6" t="s">
        <v>108</v>
      </c>
      <c r="D3" s="6" t="s">
        <v>109</v>
      </c>
      <c r="E3" s="6" t="s">
        <v>110</v>
      </c>
      <c r="F3" s="6" t="s">
        <v>111</v>
      </c>
      <c r="G3" s="6" t="s">
        <v>112</v>
      </c>
      <c r="H3" s="6" t="s">
        <v>113</v>
      </c>
      <c r="I3" s="6" t="s">
        <v>114</v>
      </c>
      <c r="J3" s="6" t="s">
        <v>115</v>
      </c>
      <c r="K3" s="6" t="s">
        <v>116</v>
      </c>
    </row>
    <row r="4" customFormat="false" ht="15" hidden="false" customHeight="false" outlineLevel="0" collapsed="false">
      <c r="A4" s="14" t="s">
        <v>117</v>
      </c>
      <c r="B4" s="14" t="s">
        <v>118</v>
      </c>
      <c r="C4" s="15" t="n">
        <v>1</v>
      </c>
      <c r="D4" s="15" t="n">
        <v>1</v>
      </c>
      <c r="E4" s="15" t="n">
        <v>1</v>
      </c>
      <c r="F4" s="15" t="n">
        <v>1</v>
      </c>
      <c r="G4" s="15" t="n">
        <v>1</v>
      </c>
      <c r="H4" s="15" t="n">
        <v>0.5</v>
      </c>
      <c r="I4" s="9" t="n">
        <f aca="false">SUM(C4:H4)</f>
        <v>5.5</v>
      </c>
      <c r="J4" s="14" t="str">
        <f aca="false">IF(I4&gt;=4,"Include","Exclude")</f>
        <v>Include</v>
      </c>
      <c r="K4" s="14" t="s">
        <v>93</v>
      </c>
    </row>
    <row r="5" customFormat="false" ht="15" hidden="false" customHeight="false" outlineLevel="0" collapsed="false">
      <c r="A5" s="14" t="s">
        <v>119</v>
      </c>
      <c r="B5" s="14" t="s">
        <v>120</v>
      </c>
      <c r="C5" s="15" t="n">
        <v>1</v>
      </c>
      <c r="D5" s="15" t="n">
        <v>1</v>
      </c>
      <c r="E5" s="15" t="n">
        <v>1</v>
      </c>
      <c r="F5" s="15" t="n">
        <v>1</v>
      </c>
      <c r="G5" s="15" t="n">
        <v>1</v>
      </c>
      <c r="H5" s="15" t="n">
        <v>1</v>
      </c>
      <c r="I5" s="9" t="n">
        <f aca="false">SUM(C5:H5)</f>
        <v>6</v>
      </c>
      <c r="J5" s="14" t="str">
        <f aca="false">IF(I5&gt;=4,"Include","Exclude")</f>
        <v>Include</v>
      </c>
      <c r="K5" s="14" t="s">
        <v>93</v>
      </c>
    </row>
    <row r="6" customFormat="false" ht="15" hidden="false" customHeight="false" outlineLevel="0" collapsed="false">
      <c r="A6" s="14" t="s">
        <v>121</v>
      </c>
      <c r="B6" s="14" t="s">
        <v>122</v>
      </c>
      <c r="C6" s="15" t="n">
        <v>1</v>
      </c>
      <c r="D6" s="15" t="n">
        <v>1</v>
      </c>
      <c r="E6" s="15" t="n">
        <v>0.5</v>
      </c>
      <c r="F6" s="15" t="n">
        <v>1</v>
      </c>
      <c r="G6" s="15" t="n">
        <v>0.5</v>
      </c>
      <c r="H6" s="15" t="n">
        <v>1</v>
      </c>
      <c r="I6" s="9" t="n">
        <f aca="false">SUM(C6:H6)</f>
        <v>5</v>
      </c>
      <c r="J6" s="14" t="str">
        <f aca="false">IF(I6&gt;=4,"Include","Exclude")</f>
        <v>Include</v>
      </c>
      <c r="K6" s="14" t="s">
        <v>93</v>
      </c>
    </row>
    <row r="7" customFormat="false" ht="15" hidden="false" customHeight="false" outlineLevel="0" collapsed="false">
      <c r="A7" s="14" t="s">
        <v>123</v>
      </c>
      <c r="B7" s="14" t="s">
        <v>124</v>
      </c>
      <c r="C7" s="15" t="n">
        <v>1</v>
      </c>
      <c r="D7" s="15" t="n">
        <v>1</v>
      </c>
      <c r="E7" s="15" t="n">
        <v>1</v>
      </c>
      <c r="F7" s="15" t="n">
        <v>1</v>
      </c>
      <c r="G7" s="15" t="n">
        <v>1</v>
      </c>
      <c r="H7" s="15" t="n">
        <v>1</v>
      </c>
      <c r="I7" s="9" t="n">
        <f aca="false">SUM(C7:H7)</f>
        <v>6</v>
      </c>
      <c r="J7" s="14" t="str">
        <f aca="false">IF(I7&gt;=4,"Include","Exclude")</f>
        <v>Include</v>
      </c>
      <c r="K7" s="14" t="s">
        <v>93</v>
      </c>
    </row>
    <row r="8" customFormat="false" ht="15" hidden="false" customHeight="false" outlineLevel="0" collapsed="false">
      <c r="A8" s="14" t="s">
        <v>125</v>
      </c>
      <c r="B8" s="14" t="s">
        <v>126</v>
      </c>
      <c r="C8" s="15" t="n">
        <v>1</v>
      </c>
      <c r="D8" s="15" t="n">
        <v>1</v>
      </c>
      <c r="E8" s="15" t="n">
        <v>1</v>
      </c>
      <c r="F8" s="15" t="n">
        <v>1</v>
      </c>
      <c r="G8" s="15" t="n">
        <v>1</v>
      </c>
      <c r="H8" s="15" t="n">
        <v>1</v>
      </c>
      <c r="I8" s="9" t="n">
        <f aca="false">SUM(C8:H8)</f>
        <v>6</v>
      </c>
      <c r="J8" s="14" t="str">
        <f aca="false">IF(I8&gt;=4,"Include","Exclude")</f>
        <v>Include</v>
      </c>
      <c r="K8" s="14" t="s">
        <v>93</v>
      </c>
    </row>
    <row r="9" customFormat="false" ht="15" hidden="false" customHeight="false" outlineLevel="0" collapsed="false">
      <c r="A9" s="14" t="s">
        <v>127</v>
      </c>
      <c r="B9" s="14" t="s">
        <v>128</v>
      </c>
      <c r="C9" s="15" t="n">
        <v>1</v>
      </c>
      <c r="D9" s="15" t="n">
        <v>1</v>
      </c>
      <c r="E9" s="15" t="n">
        <v>1</v>
      </c>
      <c r="F9" s="15" t="n">
        <v>1</v>
      </c>
      <c r="G9" s="15" t="n">
        <v>0.5</v>
      </c>
      <c r="H9" s="15" t="n">
        <v>0</v>
      </c>
      <c r="I9" s="9" t="n">
        <f aca="false">SUM(C9:H9)</f>
        <v>4.5</v>
      </c>
      <c r="J9" s="14" t="str">
        <f aca="false">IF(I9&gt;=4,"Include","Exclude")</f>
        <v>Include</v>
      </c>
      <c r="K9" s="14" t="s">
        <v>129</v>
      </c>
    </row>
    <row r="10" customFormat="false" ht="15" hidden="false" customHeight="false" outlineLevel="0" collapsed="false">
      <c r="A10" s="14" t="s">
        <v>130</v>
      </c>
      <c r="B10" s="14" t="s">
        <v>131</v>
      </c>
      <c r="C10" s="15" t="n">
        <v>1</v>
      </c>
      <c r="D10" s="15" t="n">
        <v>0.5</v>
      </c>
      <c r="E10" s="15" t="n">
        <v>1</v>
      </c>
      <c r="F10" s="15" t="n">
        <v>1</v>
      </c>
      <c r="G10" s="15" t="n">
        <v>0.5</v>
      </c>
      <c r="H10" s="15" t="n">
        <v>1</v>
      </c>
      <c r="I10" s="9" t="n">
        <f aca="false">SUM(C10:H10)</f>
        <v>5</v>
      </c>
      <c r="J10" s="14" t="str">
        <f aca="false">IF(I10&gt;=4,"Include","Exclude")</f>
        <v>Include</v>
      </c>
      <c r="K10" s="14" t="s">
        <v>132</v>
      </c>
    </row>
    <row r="11" customFormat="false" ht="15" hidden="false" customHeight="false" outlineLevel="0" collapsed="false">
      <c r="A11" s="16"/>
      <c r="B11" s="16"/>
      <c r="C11" s="16"/>
      <c r="D11" s="16"/>
      <c r="E11" s="16"/>
      <c r="F11" s="16"/>
      <c r="G11" s="16"/>
      <c r="H11" s="16"/>
      <c r="I11" s="14" t="str">
        <f aca="false">IF(COUNT(C11:H11)=6,SUM(C11:H11),"")</f>
        <v/>
      </c>
      <c r="J11" s="14" t="str">
        <f aca="false">IF(I11="","",IF(I11&gt;=4,"Include","Exclude"))</f>
        <v/>
      </c>
      <c r="K11" s="16"/>
    </row>
    <row r="12" customFormat="false" ht="15" hidden="false" customHeight="false" outlineLevel="0" collapsed="false">
      <c r="A12" s="16"/>
      <c r="B12" s="16"/>
      <c r="C12" s="16"/>
      <c r="D12" s="16"/>
      <c r="E12" s="16"/>
      <c r="F12" s="16"/>
      <c r="G12" s="16"/>
      <c r="H12" s="16"/>
      <c r="I12" s="14" t="str">
        <f aca="false">IF(COUNT(C12:H12)=6,SUM(C12:H12),"")</f>
        <v/>
      </c>
      <c r="J12" s="14" t="str">
        <f aca="false">IF(I12="","",IF(I12&gt;=4,"Include","Exclude"))</f>
        <v/>
      </c>
      <c r="K12" s="16"/>
    </row>
    <row r="13" customFormat="false" ht="15" hidden="false" customHeight="false" outlineLevel="0" collapsed="false">
      <c r="A13" s="16"/>
      <c r="B13" s="16"/>
      <c r="C13" s="16"/>
      <c r="D13" s="16"/>
      <c r="E13" s="16"/>
      <c r="F13" s="16"/>
      <c r="G13" s="16"/>
      <c r="H13" s="16"/>
      <c r="I13" s="14" t="str">
        <f aca="false">IF(COUNT(C13:H13)=6,SUM(C13:H13),"")</f>
        <v/>
      </c>
      <c r="J13" s="14" t="str">
        <f aca="false">IF(I13="","",IF(I13&gt;=4,"Include","Exclude"))</f>
        <v/>
      </c>
      <c r="K13" s="16"/>
    </row>
    <row r="14" customFormat="false" ht="15" hidden="false" customHeight="false" outlineLevel="0" collapsed="false">
      <c r="A14" s="16"/>
      <c r="B14" s="16"/>
      <c r="C14" s="16"/>
      <c r="D14" s="16"/>
      <c r="E14" s="16"/>
      <c r="F14" s="16"/>
      <c r="G14" s="16"/>
      <c r="H14" s="16"/>
      <c r="I14" s="14" t="str">
        <f aca="false">IF(COUNT(C14:H14)=6,SUM(C14:H14),"")</f>
        <v/>
      </c>
      <c r="J14" s="14" t="str">
        <f aca="false">IF(I14="","",IF(I14&gt;=4,"Include","Exclude"))</f>
        <v/>
      </c>
      <c r="K14" s="16"/>
    </row>
    <row r="15" customFormat="false" ht="15" hidden="false" customHeight="false" outlineLevel="0" collapsed="false">
      <c r="A15" s="16"/>
      <c r="B15" s="16"/>
      <c r="C15" s="16"/>
      <c r="D15" s="16"/>
      <c r="E15" s="16"/>
      <c r="F15" s="16"/>
      <c r="G15" s="16"/>
      <c r="H15" s="16"/>
      <c r="I15" s="14" t="str">
        <f aca="false">IF(COUNT(C15:H15)=6,SUM(C15:H15),"")</f>
        <v/>
      </c>
      <c r="J15" s="14" t="str">
        <f aca="false">IF(I15="","",IF(I15&gt;=4,"Include","Exclude"))</f>
        <v/>
      </c>
      <c r="K15" s="16"/>
    </row>
    <row r="16" customFormat="false" ht="15" hidden="false" customHeight="false" outlineLevel="0" collapsed="false">
      <c r="A16" s="16"/>
      <c r="B16" s="16"/>
      <c r="C16" s="16"/>
      <c r="D16" s="16"/>
      <c r="E16" s="16"/>
      <c r="F16" s="16"/>
      <c r="G16" s="16"/>
      <c r="H16" s="16"/>
      <c r="I16" s="14" t="str">
        <f aca="false">IF(COUNT(C16:H16)=6,SUM(C16:H16),"")</f>
        <v/>
      </c>
      <c r="J16" s="14" t="str">
        <f aca="false">IF(I16="","",IF(I16&gt;=4,"Include","Exclude"))</f>
        <v/>
      </c>
      <c r="K16" s="16"/>
    </row>
    <row r="17" customFormat="false" ht="15" hidden="false" customHeight="false" outlineLevel="0" collapsed="false">
      <c r="A17" s="16"/>
      <c r="B17" s="16"/>
      <c r="C17" s="16"/>
      <c r="D17" s="16"/>
      <c r="E17" s="16"/>
      <c r="F17" s="16"/>
      <c r="G17" s="16"/>
      <c r="H17" s="16"/>
      <c r="I17" s="14" t="str">
        <f aca="false">IF(COUNT(C17:H17)=6,SUM(C17:H17),"")</f>
        <v/>
      </c>
      <c r="J17" s="14" t="str">
        <f aca="false">IF(I17="","",IF(I17&gt;=4,"Include","Exclude"))</f>
        <v/>
      </c>
      <c r="K17" s="16"/>
    </row>
    <row r="18" customFormat="false" ht="15" hidden="false" customHeight="false" outlineLevel="0" collapsed="false">
      <c r="A18" s="16"/>
      <c r="B18" s="16"/>
      <c r="C18" s="16"/>
      <c r="D18" s="16"/>
      <c r="E18" s="16"/>
      <c r="F18" s="16"/>
      <c r="G18" s="16"/>
      <c r="H18" s="16"/>
      <c r="I18" s="14" t="str">
        <f aca="false">IF(COUNT(C18:H18)=6,SUM(C18:H18),"")</f>
        <v/>
      </c>
      <c r="J18" s="14" t="str">
        <f aca="false">IF(I18="","",IF(I18&gt;=4,"Include","Exclude"))</f>
        <v/>
      </c>
      <c r="K18" s="16"/>
    </row>
    <row r="19" customFormat="false" ht="15" hidden="false" customHeight="false" outlineLevel="0" collapsed="false">
      <c r="A19" s="16"/>
      <c r="B19" s="16"/>
      <c r="C19" s="16"/>
      <c r="D19" s="16"/>
      <c r="E19" s="16"/>
      <c r="F19" s="16"/>
      <c r="G19" s="16"/>
      <c r="H19" s="16"/>
      <c r="I19" s="14" t="str">
        <f aca="false">IF(COUNT(C19:H19)=6,SUM(C19:H19),"")</f>
        <v/>
      </c>
      <c r="J19" s="14" t="str">
        <f aca="false">IF(I19="","",IF(I19&gt;=4,"Include","Exclude"))</f>
        <v/>
      </c>
      <c r="K19" s="16"/>
    </row>
    <row r="20" customFormat="false" ht="15" hidden="false" customHeight="false" outlineLevel="0" collapsed="false">
      <c r="A20" s="16"/>
      <c r="B20" s="16"/>
      <c r="C20" s="16"/>
      <c r="D20" s="16"/>
      <c r="E20" s="16"/>
      <c r="F20" s="16"/>
      <c r="G20" s="16"/>
      <c r="H20" s="16"/>
      <c r="I20" s="14" t="str">
        <f aca="false">IF(COUNT(C20:H20)=6,SUM(C20:H20),"")</f>
        <v/>
      </c>
      <c r="J20" s="14" t="str">
        <f aca="false">IF(I20="","",IF(I20&gt;=4,"Include","Exclude"))</f>
        <v/>
      </c>
      <c r="K20" s="16"/>
    </row>
    <row r="21" customFormat="false" ht="15" hidden="false" customHeight="false" outlineLevel="0" collapsed="false">
      <c r="A21" s="16"/>
      <c r="B21" s="16"/>
      <c r="C21" s="16"/>
      <c r="D21" s="16"/>
      <c r="E21" s="16"/>
      <c r="F21" s="16"/>
      <c r="G21" s="16"/>
      <c r="H21" s="16"/>
      <c r="I21" s="14" t="str">
        <f aca="false">IF(COUNT(C21:H21)=6,SUM(C21:H21),"")</f>
        <v/>
      </c>
      <c r="J21" s="14" t="str">
        <f aca="false">IF(I21="","",IF(I21&gt;=4,"Include","Exclude"))</f>
        <v/>
      </c>
      <c r="K21" s="16"/>
    </row>
    <row r="22" customFormat="false" ht="15" hidden="false" customHeight="false" outlineLevel="0" collapsed="false">
      <c r="A22" s="16"/>
      <c r="B22" s="16"/>
      <c r="C22" s="16"/>
      <c r="D22" s="16"/>
      <c r="E22" s="16"/>
      <c r="F22" s="16"/>
      <c r="G22" s="16"/>
      <c r="H22" s="16"/>
      <c r="I22" s="14" t="str">
        <f aca="false">IF(COUNT(C22:H22)=6,SUM(C22:H22),"")</f>
        <v/>
      </c>
      <c r="J22" s="14" t="str">
        <f aca="false">IF(I22="","",IF(I22&gt;=4,"Include","Exclude"))</f>
        <v/>
      </c>
      <c r="K22" s="16"/>
    </row>
    <row r="23" customFormat="false" ht="15" hidden="false" customHeight="false" outlineLevel="0" collapsed="false">
      <c r="A23" s="16"/>
      <c r="B23" s="16"/>
      <c r="C23" s="16"/>
      <c r="D23" s="16"/>
      <c r="E23" s="16"/>
      <c r="F23" s="16"/>
      <c r="G23" s="16"/>
      <c r="H23" s="16"/>
      <c r="I23" s="14" t="str">
        <f aca="false">IF(COUNT(C23:H23)=6,SUM(C23:H23),"")</f>
        <v/>
      </c>
      <c r="J23" s="14" t="str">
        <f aca="false">IF(I23="","",IF(I23&gt;=4,"Include","Exclude"))</f>
        <v/>
      </c>
      <c r="K23" s="16"/>
    </row>
    <row r="24" customFormat="false" ht="15" hidden="false" customHeight="false" outlineLevel="0" collapsed="false">
      <c r="A24" s="16"/>
      <c r="B24" s="16"/>
      <c r="C24" s="16"/>
      <c r="D24" s="16"/>
      <c r="E24" s="16"/>
      <c r="F24" s="16"/>
      <c r="G24" s="16"/>
      <c r="H24" s="16"/>
      <c r="I24" s="14" t="str">
        <f aca="false">IF(COUNT(C24:H24)=6,SUM(C24:H24),"")</f>
        <v/>
      </c>
      <c r="J24" s="14" t="str">
        <f aca="false">IF(I24="","",IF(I24&gt;=4,"Include","Exclude"))</f>
        <v/>
      </c>
      <c r="K24" s="16"/>
    </row>
    <row r="25" customFormat="false" ht="15" hidden="false" customHeight="false" outlineLevel="0" collapsed="false">
      <c r="A25" s="16"/>
      <c r="B25" s="16"/>
      <c r="C25" s="16"/>
      <c r="D25" s="16"/>
      <c r="E25" s="16"/>
      <c r="F25" s="16"/>
      <c r="G25" s="16"/>
      <c r="H25" s="16"/>
      <c r="I25" s="14" t="str">
        <f aca="false">IF(COUNT(C25:H25)=6,SUM(C25:H25),"")</f>
        <v/>
      </c>
      <c r="J25" s="14" t="str">
        <f aca="false">IF(I25="","",IF(I25&gt;=4,"Include","Exclude"))</f>
        <v/>
      </c>
      <c r="K25" s="16"/>
    </row>
    <row r="26" customFormat="false" ht="15" hidden="false" customHeight="false" outlineLevel="0" collapsed="false">
      <c r="A26" s="16"/>
      <c r="B26" s="16"/>
      <c r="C26" s="16"/>
      <c r="D26" s="16"/>
      <c r="E26" s="16"/>
      <c r="F26" s="16"/>
      <c r="G26" s="16"/>
      <c r="H26" s="16"/>
      <c r="I26" s="14" t="str">
        <f aca="false">IF(COUNT(C26:H26)=6,SUM(C26:H26),"")</f>
        <v/>
      </c>
      <c r="J26" s="14" t="str">
        <f aca="false">IF(I26="","",IF(I26&gt;=4,"Include","Exclude"))</f>
        <v/>
      </c>
      <c r="K26" s="16"/>
    </row>
    <row r="27" customFormat="false" ht="15" hidden="false" customHeight="false" outlineLevel="0" collapsed="false">
      <c r="A27" s="16"/>
      <c r="B27" s="16"/>
      <c r="C27" s="16"/>
      <c r="D27" s="16"/>
      <c r="E27" s="16"/>
      <c r="F27" s="16"/>
      <c r="G27" s="16"/>
      <c r="H27" s="16"/>
      <c r="I27" s="14" t="str">
        <f aca="false">IF(COUNT(C27:H27)=6,SUM(C27:H27),"")</f>
        <v/>
      </c>
      <c r="J27" s="14" t="str">
        <f aca="false">IF(I27="","",IF(I27&gt;=4,"Include","Exclude"))</f>
        <v/>
      </c>
      <c r="K27" s="16"/>
    </row>
    <row r="28" customFormat="false" ht="15" hidden="false" customHeight="false" outlineLevel="0" collapsed="false">
      <c r="A28" s="16"/>
      <c r="B28" s="16"/>
      <c r="C28" s="16"/>
      <c r="D28" s="16"/>
      <c r="E28" s="16"/>
      <c r="F28" s="16"/>
      <c r="G28" s="16"/>
      <c r="H28" s="16"/>
      <c r="I28" s="14" t="str">
        <f aca="false">IF(COUNT(C28:H28)=6,SUM(C28:H28),"")</f>
        <v/>
      </c>
      <c r="J28" s="14" t="str">
        <f aca="false">IF(I28="","",IF(I28&gt;=4,"Include","Exclude"))</f>
        <v/>
      </c>
      <c r="K28" s="16"/>
    </row>
    <row r="29" customFormat="false" ht="15" hidden="false" customHeight="false" outlineLevel="0" collapsed="false">
      <c r="A29" s="16"/>
      <c r="B29" s="16"/>
      <c r="C29" s="16"/>
      <c r="D29" s="16"/>
      <c r="E29" s="16"/>
      <c r="F29" s="16"/>
      <c r="G29" s="16"/>
      <c r="H29" s="16"/>
      <c r="I29" s="14" t="str">
        <f aca="false">IF(COUNT(C29:H29)=6,SUM(C29:H29),"")</f>
        <v/>
      </c>
      <c r="J29" s="14" t="str">
        <f aca="false">IF(I29="","",IF(I29&gt;=4,"Include","Exclude"))</f>
        <v/>
      </c>
      <c r="K29" s="16"/>
    </row>
    <row r="30" customFormat="false" ht="15" hidden="false" customHeight="false" outlineLevel="0" collapsed="false">
      <c r="A30" s="16"/>
      <c r="B30" s="16"/>
      <c r="C30" s="16"/>
      <c r="D30" s="16"/>
      <c r="E30" s="16"/>
      <c r="F30" s="16"/>
      <c r="G30" s="16"/>
      <c r="H30" s="16"/>
      <c r="I30" s="14" t="str">
        <f aca="false">IF(COUNT(C30:H30)=6,SUM(C30:H30),"")</f>
        <v/>
      </c>
      <c r="J30" s="14" t="str">
        <f aca="false">IF(I30="","",IF(I30&gt;=4,"Include","Exclude"))</f>
        <v/>
      </c>
      <c r="K30" s="16"/>
    </row>
    <row r="32" customFormat="false" ht="15" hidden="false" customHeight="false" outlineLevel="0" collapsed="false">
      <c r="A32" s="5" t="s">
        <v>133</v>
      </c>
      <c r="I32" s="5" t="n">
        <f aca="false">IFERROR(AVERAGE(I4:I10),0)</f>
        <v>5.42857142857143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16"/>
    <col collapsed="false" customWidth="true" hidden="false" outlineLevel="0" max="4" min="4" style="0" width="24"/>
    <col collapsed="false" customWidth="true" hidden="false" outlineLevel="0" max="6" min="5" style="0" width="30"/>
    <col collapsed="false" customWidth="true" hidden="false" outlineLevel="0" max="7" min="7" style="0" width="32"/>
    <col collapsed="false" customWidth="true" hidden="false" outlineLevel="0" max="8" min="8" style="0" width="30"/>
    <col collapsed="false" customWidth="true" hidden="false" outlineLevel="0" max="9" min="9" style="0" width="32"/>
    <col collapsed="false" customWidth="true" hidden="false" outlineLevel="0" max="10" min="10" style="0" width="10"/>
  </cols>
  <sheetData>
    <row r="1" customFormat="false" ht="17.35" hidden="false" customHeight="false" outlineLevel="0" collapsed="false">
      <c r="A1" s="1" t="s">
        <v>134</v>
      </c>
    </row>
    <row r="3" customFormat="false" ht="23.85" hidden="false" customHeight="false" outlineLevel="0" collapsed="false">
      <c r="A3" s="6" t="s">
        <v>106</v>
      </c>
      <c r="B3" s="6" t="s">
        <v>135</v>
      </c>
      <c r="C3" s="6" t="s">
        <v>82</v>
      </c>
      <c r="D3" s="6" t="s">
        <v>136</v>
      </c>
      <c r="E3" s="6" t="s">
        <v>137</v>
      </c>
      <c r="F3" s="6" t="s">
        <v>138</v>
      </c>
      <c r="G3" s="6" t="s">
        <v>139</v>
      </c>
      <c r="H3" s="6" t="s">
        <v>140</v>
      </c>
      <c r="I3" s="6" t="s">
        <v>141</v>
      </c>
      <c r="J3" s="6" t="s">
        <v>142</v>
      </c>
    </row>
    <row r="4" customFormat="false" ht="69.75" hidden="false" customHeight="true" outlineLevel="0" collapsed="false">
      <c r="A4" s="7" t="s">
        <v>117</v>
      </c>
      <c r="B4" s="7" t="s">
        <v>143</v>
      </c>
      <c r="C4" s="7" t="s">
        <v>144</v>
      </c>
      <c r="D4" s="7" t="s">
        <v>145</v>
      </c>
      <c r="E4" s="7" t="s">
        <v>146</v>
      </c>
      <c r="F4" s="7" t="s">
        <v>147</v>
      </c>
      <c r="G4" s="7" t="s">
        <v>148</v>
      </c>
      <c r="H4" s="7" t="s">
        <v>149</v>
      </c>
      <c r="I4" s="7" t="s">
        <v>150</v>
      </c>
      <c r="J4" s="7" t="s">
        <v>151</v>
      </c>
    </row>
    <row r="5" customFormat="false" ht="69.75" hidden="false" customHeight="true" outlineLevel="0" collapsed="false">
      <c r="A5" s="7" t="s">
        <v>119</v>
      </c>
      <c r="B5" s="7" t="s">
        <v>152</v>
      </c>
      <c r="C5" s="7" t="s">
        <v>153</v>
      </c>
      <c r="D5" s="7" t="s">
        <v>154</v>
      </c>
      <c r="E5" s="7" t="s">
        <v>155</v>
      </c>
      <c r="F5" s="7" t="s">
        <v>156</v>
      </c>
      <c r="G5" s="7" t="s">
        <v>157</v>
      </c>
      <c r="H5" s="7" t="s">
        <v>158</v>
      </c>
      <c r="I5" s="7" t="s">
        <v>159</v>
      </c>
      <c r="J5" s="7" t="s">
        <v>151</v>
      </c>
    </row>
    <row r="6" customFormat="false" ht="69.75" hidden="false" customHeight="true" outlineLevel="0" collapsed="false">
      <c r="A6" s="7" t="s">
        <v>121</v>
      </c>
      <c r="B6" s="7" t="s">
        <v>160</v>
      </c>
      <c r="C6" s="7" t="s">
        <v>161</v>
      </c>
      <c r="D6" s="7" t="s">
        <v>162</v>
      </c>
      <c r="E6" s="7" t="s">
        <v>163</v>
      </c>
      <c r="F6" s="7" t="s">
        <v>164</v>
      </c>
      <c r="G6" s="7" t="s">
        <v>165</v>
      </c>
      <c r="H6" s="7" t="s">
        <v>166</v>
      </c>
      <c r="I6" s="7" t="s">
        <v>151</v>
      </c>
    </row>
    <row r="7" customFormat="false" ht="69.75" hidden="false" customHeight="true" outlineLevel="0" collapsed="false">
      <c r="A7" s="7" t="s">
        <v>123</v>
      </c>
      <c r="B7" s="7" t="s">
        <v>167</v>
      </c>
      <c r="C7" s="7" t="s">
        <v>168</v>
      </c>
      <c r="D7" s="7" t="s">
        <v>169</v>
      </c>
      <c r="E7" s="7" t="s">
        <v>170</v>
      </c>
      <c r="F7" s="7" t="s">
        <v>171</v>
      </c>
      <c r="G7" s="7" t="s">
        <v>172</v>
      </c>
      <c r="H7" s="7" t="s">
        <v>173</v>
      </c>
      <c r="I7" s="7" t="s">
        <v>174</v>
      </c>
      <c r="J7" s="7" t="s">
        <v>175</v>
      </c>
    </row>
    <row r="8" customFormat="false" ht="69.75" hidden="false" customHeight="true" outlineLevel="0" collapsed="false">
      <c r="A8" s="7" t="s">
        <v>125</v>
      </c>
      <c r="B8" s="7" t="s">
        <v>176</v>
      </c>
      <c r="C8" s="7" t="s">
        <v>177</v>
      </c>
      <c r="D8" s="7" t="s">
        <v>178</v>
      </c>
      <c r="E8" s="7" t="s">
        <v>179</v>
      </c>
      <c r="F8" s="7" t="s">
        <v>180</v>
      </c>
      <c r="G8" s="7" t="s">
        <v>181</v>
      </c>
      <c r="H8" s="7" t="s">
        <v>182</v>
      </c>
      <c r="I8" s="7" t="s">
        <v>183</v>
      </c>
      <c r="J8" s="7" t="s">
        <v>151</v>
      </c>
    </row>
    <row r="9" customFormat="false" ht="69.75" hidden="false" customHeight="true" outlineLevel="0" collapsed="false">
      <c r="A9" s="7" t="s">
        <v>127</v>
      </c>
      <c r="B9" s="7" t="s">
        <v>184</v>
      </c>
      <c r="C9" s="7" t="s">
        <v>168</v>
      </c>
      <c r="D9" s="7" t="s">
        <v>185</v>
      </c>
      <c r="E9" s="7" t="s">
        <v>186</v>
      </c>
      <c r="F9" s="7" t="s">
        <v>187</v>
      </c>
      <c r="G9" s="7" t="s">
        <v>188</v>
      </c>
      <c r="H9" s="7" t="s">
        <v>189</v>
      </c>
      <c r="I9" s="7" t="s">
        <v>190</v>
      </c>
      <c r="J9" s="7" t="s">
        <v>151</v>
      </c>
    </row>
    <row r="10" customFormat="false" ht="69.75" hidden="false" customHeight="true" outlineLevel="0" collapsed="false">
      <c r="A10" s="7" t="s">
        <v>130</v>
      </c>
      <c r="B10" s="7" t="s">
        <v>191</v>
      </c>
      <c r="C10" s="7" t="s">
        <v>192</v>
      </c>
      <c r="D10" s="7" t="s">
        <v>193</v>
      </c>
      <c r="E10" s="7" t="s">
        <v>194</v>
      </c>
      <c r="F10" s="7" t="s">
        <v>195</v>
      </c>
      <c r="G10" s="7" t="s">
        <v>196</v>
      </c>
      <c r="H10" s="7" t="s">
        <v>197</v>
      </c>
      <c r="I10" s="7" t="s">
        <v>198</v>
      </c>
      <c r="J10" s="7" t="s">
        <v>199</v>
      </c>
    </row>
    <row r="11" customFormat="false" ht="15" hidden="false" customHeight="false" outlineLevel="0" collapsed="false">
      <c r="A11" s="13"/>
      <c r="B11" s="13"/>
      <c r="C11" s="13"/>
      <c r="D11" s="13"/>
      <c r="E11" s="13"/>
      <c r="F11" s="13"/>
      <c r="G11" s="13"/>
      <c r="H11" s="13"/>
      <c r="I11" s="13"/>
      <c r="J11" s="13"/>
    </row>
    <row r="12" customFormat="false" ht="15" hidden="false" customHeight="false" outlineLevel="0" collapsed="false">
      <c r="A12" s="13"/>
      <c r="B12" s="13"/>
      <c r="C12" s="13"/>
      <c r="D12" s="13"/>
      <c r="E12" s="13"/>
      <c r="F12" s="13"/>
      <c r="G12" s="13"/>
      <c r="H12" s="13"/>
      <c r="I12" s="13"/>
      <c r="J12" s="13"/>
    </row>
    <row r="13" customFormat="false" ht="15" hidden="false" customHeight="false" outlineLevel="0" collapsed="false">
      <c r="A13" s="13"/>
      <c r="B13" s="13"/>
      <c r="C13" s="13"/>
      <c r="D13" s="13"/>
      <c r="E13" s="13"/>
      <c r="F13" s="13"/>
      <c r="G13" s="13"/>
      <c r="H13" s="13"/>
      <c r="I13" s="13"/>
      <c r="J13" s="13"/>
    </row>
    <row r="14" customFormat="false" ht="15" hidden="false" customHeight="false" outlineLevel="0" collapsed="false">
      <c r="A14" s="13"/>
      <c r="B14" s="13"/>
      <c r="C14" s="13"/>
      <c r="D14" s="13"/>
      <c r="E14" s="13"/>
      <c r="F14" s="13"/>
      <c r="G14" s="13"/>
      <c r="H14" s="13"/>
      <c r="I14" s="13"/>
      <c r="J14" s="13"/>
    </row>
    <row r="15" customFormat="false" ht="15" hidden="false" customHeight="false" outlineLevel="0" collapsed="false">
      <c r="A15" s="13"/>
      <c r="B15" s="13"/>
      <c r="C15" s="13"/>
      <c r="D15" s="13"/>
      <c r="E15" s="13"/>
      <c r="F15" s="13"/>
      <c r="G15" s="13"/>
      <c r="H15" s="13"/>
      <c r="I15" s="13"/>
      <c r="J15" s="13"/>
    </row>
    <row r="16" customFormat="false" ht="15" hidden="false" customHeight="false" outlineLevel="0" collapsed="false">
      <c r="A16" s="13"/>
      <c r="B16" s="13"/>
      <c r="C16" s="13"/>
      <c r="D16" s="13"/>
      <c r="E16" s="13"/>
      <c r="F16" s="13"/>
      <c r="G16" s="13"/>
      <c r="H16" s="13"/>
      <c r="I16" s="13"/>
      <c r="J16" s="13"/>
    </row>
    <row r="17" customFormat="false" ht="15" hidden="false" customHeight="false" outlineLevel="0" collapsed="false">
      <c r="A17" s="13"/>
      <c r="B17" s="13"/>
      <c r="C17" s="13"/>
      <c r="D17" s="13"/>
      <c r="E17" s="13"/>
      <c r="F17" s="13"/>
      <c r="G17" s="13"/>
      <c r="H17" s="13"/>
      <c r="I17" s="13"/>
      <c r="J17" s="13"/>
    </row>
    <row r="18" customFormat="false" ht="15" hidden="false" customHeight="false" outlineLevel="0" collapsed="false">
      <c r="A18" s="13"/>
      <c r="B18" s="13"/>
      <c r="C18" s="13"/>
      <c r="D18" s="13"/>
      <c r="E18" s="13"/>
      <c r="F18" s="13"/>
      <c r="G18" s="13"/>
      <c r="H18" s="13"/>
      <c r="I18" s="13"/>
      <c r="J18" s="13"/>
    </row>
    <row r="19" customFormat="false" ht="15" hidden="false" customHeight="false" outlineLevel="0" collapsed="false">
      <c r="A19" s="13"/>
      <c r="B19" s="13"/>
      <c r="C19" s="13"/>
      <c r="D19" s="13"/>
      <c r="E19" s="13"/>
      <c r="F19" s="13"/>
      <c r="G19" s="13"/>
      <c r="H19" s="13"/>
      <c r="I19" s="13"/>
      <c r="J19" s="13"/>
    </row>
    <row r="20" customFormat="false" ht="15" hidden="false" customHeight="false" outlineLevel="0" collapsed="false">
      <c r="A20" s="13"/>
      <c r="B20" s="13"/>
      <c r="C20" s="13"/>
      <c r="D20" s="13"/>
      <c r="E20" s="13"/>
      <c r="F20" s="13"/>
      <c r="G20" s="13"/>
      <c r="H20" s="13"/>
      <c r="I20" s="13"/>
      <c r="J20" s="13"/>
    </row>
    <row r="21" customFormat="false" ht="15" hidden="false" customHeight="false" outlineLevel="0" collapsed="false">
      <c r="A21" s="13"/>
      <c r="B21" s="13"/>
      <c r="C21" s="13"/>
      <c r="D21" s="13"/>
      <c r="E21" s="13"/>
      <c r="F21" s="13"/>
      <c r="G21" s="13"/>
      <c r="H21" s="13"/>
      <c r="I21" s="13"/>
      <c r="J21" s="13"/>
    </row>
    <row r="22" customFormat="false" ht="15" hidden="false" customHeight="false" outlineLevel="0" collapsed="false">
      <c r="A22" s="13"/>
      <c r="B22" s="13"/>
      <c r="C22" s="13"/>
      <c r="D22" s="13"/>
      <c r="E22" s="13"/>
      <c r="F22" s="13"/>
      <c r="G22" s="13"/>
      <c r="H22" s="13"/>
      <c r="I22" s="13"/>
      <c r="J22" s="13"/>
    </row>
    <row r="23" customFormat="false" ht="15" hidden="false" customHeight="false" outlineLevel="0" collapsed="false">
      <c r="A23" s="13"/>
      <c r="B23" s="13"/>
      <c r="C23" s="13"/>
      <c r="D23" s="13"/>
      <c r="E23" s="13"/>
      <c r="F23" s="13"/>
      <c r="G23" s="13"/>
      <c r="H23" s="13"/>
      <c r="I23" s="13"/>
      <c r="J23" s="13"/>
    </row>
    <row r="24" customFormat="false" ht="15" hidden="false" customHeight="false" outlineLevel="0" collapsed="false">
      <c r="A24" s="13"/>
      <c r="B24" s="13"/>
      <c r="C24" s="13"/>
      <c r="D24" s="13"/>
      <c r="E24" s="13"/>
      <c r="F24" s="13"/>
      <c r="G24" s="13"/>
      <c r="H24" s="13"/>
      <c r="I24" s="13"/>
      <c r="J24" s="13"/>
    </row>
    <row r="25" customFormat="false" ht="15" hidden="false" customHeight="false" outlineLevel="0" collapsed="false">
      <c r="A25" s="13"/>
      <c r="B25" s="13"/>
      <c r="C25" s="13"/>
      <c r="D25" s="13"/>
      <c r="E25" s="13"/>
      <c r="F25" s="13"/>
      <c r="G25" s="13"/>
      <c r="H25" s="13"/>
      <c r="I25" s="13"/>
      <c r="J25" s="1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50"/>
  </cols>
  <sheetData>
    <row r="1" customFormat="false" ht="17.35" hidden="false" customHeight="false" outlineLevel="0" collapsed="false">
      <c r="A1" s="1" t="s">
        <v>200</v>
      </c>
    </row>
    <row r="3" customFormat="false" ht="15" hidden="false" customHeight="false" outlineLevel="0" collapsed="false">
      <c r="A3" s="6" t="s">
        <v>201</v>
      </c>
      <c r="B3" s="6" t="s">
        <v>202</v>
      </c>
      <c r="C3" s="6" t="s">
        <v>116</v>
      </c>
    </row>
    <row r="4" customFormat="false" ht="15" hidden="false" customHeight="false" outlineLevel="0" collapsed="false">
      <c r="A4" s="14" t="s">
        <v>203</v>
      </c>
      <c r="B4" s="17" t="n">
        <f aca="false">'Search Log'!F12</f>
        <v>0</v>
      </c>
      <c r="C4" s="18" t="s">
        <v>204</v>
      </c>
    </row>
    <row r="5" customFormat="false" ht="15" hidden="false" customHeight="false" outlineLevel="0" collapsed="false">
      <c r="A5" s="14" t="s">
        <v>205</v>
      </c>
      <c r="B5" s="19"/>
      <c r="C5" s="18" t="s">
        <v>206</v>
      </c>
    </row>
    <row r="6" customFormat="false" ht="15" hidden="false" customHeight="false" outlineLevel="0" collapsed="false">
      <c r="A6" s="14" t="s">
        <v>207</v>
      </c>
      <c r="B6" s="17" t="n">
        <f aca="false">B4-B5</f>
        <v>0</v>
      </c>
      <c r="C6" s="18" t="s">
        <v>208</v>
      </c>
    </row>
    <row r="7" customFormat="false" ht="15" hidden="false" customHeight="false" outlineLevel="0" collapsed="false">
      <c r="A7" s="14" t="s">
        <v>209</v>
      </c>
      <c r="B7" s="19"/>
      <c r="C7" s="18" t="s">
        <v>210</v>
      </c>
    </row>
    <row r="8" customFormat="false" ht="15" hidden="false" customHeight="false" outlineLevel="0" collapsed="false">
      <c r="A8" s="14" t="s">
        <v>211</v>
      </c>
      <c r="B8" s="17" t="n">
        <f aca="false">B6-B7</f>
        <v>0</v>
      </c>
      <c r="C8" s="18" t="s">
        <v>212</v>
      </c>
    </row>
    <row r="9" customFormat="false" ht="15" hidden="false" customHeight="false" outlineLevel="0" collapsed="false">
      <c r="A9" s="14" t="s">
        <v>213</v>
      </c>
      <c r="B9" s="19"/>
      <c r="C9" s="18" t="s">
        <v>214</v>
      </c>
    </row>
    <row r="10" customFormat="false" ht="15" hidden="false" customHeight="false" outlineLevel="0" collapsed="false">
      <c r="A10" s="14" t="s">
        <v>215</v>
      </c>
      <c r="B10" s="19"/>
      <c r="C10" s="18" t="s">
        <v>216</v>
      </c>
    </row>
    <row r="11" customFormat="false" ht="15" hidden="false" customHeight="false" outlineLevel="0" collapsed="false">
      <c r="A11" s="14" t="s">
        <v>217</v>
      </c>
      <c r="B11" s="17" t="n">
        <f aca="false">B8-B9+B10</f>
        <v>0</v>
      </c>
      <c r="C11" s="18" t="s">
        <v>218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28"/>
    <col collapsed="false" customWidth="true" hidden="false" outlineLevel="0" max="4" min="3" style="0" width="44"/>
  </cols>
  <sheetData>
    <row r="1" customFormat="false" ht="17.35" hidden="false" customHeight="false" outlineLevel="0" collapsed="false">
      <c r="A1" s="1" t="s">
        <v>219</v>
      </c>
    </row>
    <row r="3" customFormat="false" ht="15" hidden="false" customHeight="false" outlineLevel="0" collapsed="false">
      <c r="A3" s="6" t="s">
        <v>220</v>
      </c>
      <c r="B3" s="6" t="s">
        <v>221</v>
      </c>
      <c r="C3" s="6" t="s">
        <v>222</v>
      </c>
      <c r="D3" s="6" t="s">
        <v>223</v>
      </c>
    </row>
    <row r="4" customFormat="false" ht="15" hidden="false" customHeight="false" outlineLevel="0" collapsed="false">
      <c r="A4" s="20" t="s">
        <v>224</v>
      </c>
      <c r="B4" s="20" t="s">
        <v>225</v>
      </c>
      <c r="C4" s="20" t="s">
        <v>226</v>
      </c>
      <c r="D4" s="20" t="s">
        <v>227</v>
      </c>
    </row>
    <row r="5" customFormat="false" ht="15" hidden="false" customHeight="false" outlineLevel="0" collapsed="false">
      <c r="A5" s="13"/>
      <c r="B5" s="13"/>
      <c r="C5" s="13"/>
      <c r="D5" s="13"/>
    </row>
    <row r="6" customFormat="false" ht="15" hidden="false" customHeight="false" outlineLevel="0" collapsed="false">
      <c r="A6" s="13"/>
      <c r="B6" s="13"/>
      <c r="C6" s="13"/>
      <c r="D6" s="13"/>
    </row>
    <row r="7" customFormat="false" ht="15" hidden="false" customHeight="false" outlineLevel="0" collapsed="false">
      <c r="A7" s="13"/>
      <c r="B7" s="13"/>
      <c r="C7" s="13"/>
      <c r="D7" s="13"/>
    </row>
    <row r="8" customFormat="false" ht="15" hidden="false" customHeight="false" outlineLevel="0" collapsed="false">
      <c r="A8" s="13"/>
      <c r="B8" s="13"/>
      <c r="C8" s="13"/>
      <c r="D8" s="13"/>
    </row>
    <row r="9" customFormat="false" ht="15" hidden="false" customHeight="false" outlineLevel="0" collapsed="false">
      <c r="A9" s="13"/>
      <c r="B9" s="13"/>
      <c r="C9" s="13"/>
      <c r="D9" s="13"/>
    </row>
    <row r="10" customFormat="false" ht="15" hidden="false" customHeight="false" outlineLevel="0" collapsed="false">
      <c r="A10" s="13"/>
      <c r="B10" s="13"/>
      <c r="C10" s="13"/>
      <c r="D10" s="13"/>
    </row>
    <row r="11" customFormat="false" ht="15" hidden="false" customHeight="false" outlineLevel="0" collapsed="false">
      <c r="A11" s="13"/>
      <c r="B11" s="13"/>
      <c r="C11" s="13"/>
      <c r="D11" s="13"/>
    </row>
    <row r="12" customFormat="false" ht="15" hidden="false" customHeight="false" outlineLevel="0" collapsed="false">
      <c r="A12" s="13"/>
      <c r="B12" s="13"/>
      <c r="C12" s="13"/>
      <c r="D12" s="13"/>
    </row>
    <row r="13" customFormat="false" ht="15" hidden="false" customHeight="false" outlineLevel="0" collapsed="false">
      <c r="A13" s="13"/>
      <c r="B13" s="13"/>
      <c r="C13" s="13"/>
      <c r="D13" s="13"/>
    </row>
    <row r="14" customFormat="false" ht="15" hidden="false" customHeight="false" outlineLevel="0" collapsed="false">
      <c r="A14" s="13"/>
      <c r="B14" s="13"/>
      <c r="C14" s="13"/>
      <c r="D14" s="13"/>
    </row>
    <row r="15" customFormat="false" ht="15" hidden="false" customHeight="false" outlineLevel="0" collapsed="false">
      <c r="A15" s="13"/>
      <c r="B15" s="13"/>
      <c r="C15" s="13"/>
      <c r="D15" s="13"/>
    </row>
    <row r="16" customFormat="false" ht="15" hidden="false" customHeight="false" outlineLevel="0" collapsed="false">
      <c r="A16" s="13"/>
      <c r="B16" s="13"/>
      <c r="C16" s="13"/>
      <c r="D16" s="13"/>
    </row>
    <row r="17" customFormat="false" ht="15" hidden="false" customHeight="false" outlineLevel="0" collapsed="false">
      <c r="A17" s="13"/>
      <c r="B17" s="13"/>
      <c r="C17" s="13"/>
      <c r="D17" s="13"/>
    </row>
    <row r="18" customFormat="false" ht="15" hidden="false" customHeight="false" outlineLevel="0" collapsed="false">
      <c r="A18" s="13"/>
      <c r="B18" s="13"/>
      <c r="C18" s="13"/>
      <c r="D18" s="13"/>
    </row>
    <row r="19" customFormat="false" ht="15" hidden="false" customHeight="false" outlineLevel="0" collapsed="false">
      <c r="A19" s="13"/>
      <c r="B19" s="13"/>
      <c r="C19" s="13"/>
      <c r="D19" s="13"/>
    </row>
    <row r="20" customFormat="false" ht="15" hidden="false" customHeight="false" outlineLevel="0" collapsed="false">
      <c r="A20" s="13"/>
      <c r="B20" s="13"/>
      <c r="C20" s="13"/>
      <c r="D20" s="13"/>
    </row>
    <row r="21" customFormat="false" ht="15" hidden="false" customHeight="false" outlineLevel="0" collapsed="false">
      <c r="A21" s="13"/>
      <c r="B21" s="13"/>
      <c r="C21" s="13"/>
      <c r="D21" s="13"/>
    </row>
    <row r="22" customFormat="false" ht="15" hidden="false" customHeight="false" outlineLevel="0" collapsed="false">
      <c r="A22" s="13"/>
      <c r="B22" s="13"/>
      <c r="C22" s="13"/>
      <c r="D22" s="13"/>
    </row>
    <row r="23" customFormat="false" ht="15" hidden="false" customHeight="false" outlineLevel="0" collapsed="false">
      <c r="A23" s="13"/>
      <c r="B23" s="13"/>
      <c r="C23" s="13"/>
      <c r="D23" s="13"/>
    </row>
    <row r="24" customFormat="false" ht="15" hidden="false" customHeight="false" outlineLevel="0" collapsed="false">
      <c r="A24" s="13"/>
      <c r="B24" s="13"/>
      <c r="C24" s="13"/>
      <c r="D24" s="1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2026-07-11T07:15:08Z</dcterms:created>
  <dc:creator>openpyxl</dc:creator>
  <dc:description/>
  <dc:language>en-US</dc:language>
  <cp:lastModifiedBy/>
  <dcterms:modified xsi:type="dcterms:W3CDTF">2026-07-11T07:15:08Z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